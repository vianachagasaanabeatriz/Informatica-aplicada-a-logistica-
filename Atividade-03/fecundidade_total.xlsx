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g-my.sharepoint.com/personal/ana_chagas_br_nsg_com/Documents/Documentos/"/>
    </mc:Choice>
  </mc:AlternateContent>
  <xr:revisionPtr revIDLastSave="18" documentId="8_{1E3759C0-2D42-4D47-B2EE-23C1CE1E1B25}" xr6:coauthVersionLast="47" xr6:coauthVersionMax="47" xr10:uidLastSave="{59432835-84DF-4E38-BFFA-C1CA0CC53483}"/>
  <bookViews>
    <workbookView xWindow="-120" yWindow="-120" windowWidth="29040" windowHeight="17520" activeTab="5" xr2:uid="{00000000-000D-0000-FFFF-FFFF00000000}"/>
  </bookViews>
  <sheets>
    <sheet name="fecundidade_total" sheetId="1" r:id="rId1"/>
    <sheet name="Pergunta 1" sheetId="2" r:id="rId2"/>
    <sheet name="Planilha2" sheetId="3" r:id="rId3"/>
    <sheet name="Planilha3" sheetId="4" r:id="rId4"/>
    <sheet name="Planilha4" sheetId="5" r:id="rId5"/>
    <sheet name="Planilha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</calcChain>
</file>

<file path=xl/sharedStrings.xml><?xml version="1.0" encoding="utf-8"?>
<sst xmlns="http://schemas.openxmlformats.org/spreadsheetml/2006/main" count="558" uniqueCount="34">
  <si>
    <t>ano</t>
  </si>
  <si>
    <t>Estado de São Paulo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</si>
  <si>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</si>
  <si>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</si>
  <si>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</si>
  <si>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</si>
  <si>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</si>
  <si>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</si>
  <si>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</si>
  <si>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</si>
  <si>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</si>
  <si>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</si>
  <si>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</si>
  <si>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</si>
  <si>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</si>
  <si>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</si>
  <si>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</si>
  <si>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</si>
  <si>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 xml:space="preserve"> 15 a 19</t>
  </si>
  <si>
    <t>20 a 24</t>
  </si>
  <si>
    <t>25 a 29</t>
  </si>
  <si>
    <t>30 a 34</t>
  </si>
  <si>
    <t>35 a 39</t>
  </si>
  <si>
    <t>40 a 44</t>
  </si>
  <si>
    <t>45 a 49</t>
  </si>
  <si>
    <t>Fec total</t>
  </si>
  <si>
    <t>Idade média total</t>
  </si>
  <si>
    <t>Região</t>
  </si>
  <si>
    <t>Nascidos</t>
  </si>
  <si>
    <t>Ano de 2000</t>
  </si>
  <si>
    <t>Ano de 2024</t>
  </si>
  <si>
    <t>SOMA TOTAL</t>
  </si>
  <si>
    <t>Maior média</t>
  </si>
  <si>
    <t xml:space="preserve">Regiões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</si>
</sst>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3" fontId="0" fillId="34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3" fontId="0" fillId="0" borderId="11" xfId="0" applyNumberFormat="1" applyFont="1" applyBorder="1"/>
    <xf numFmtId="0" fontId="18" fillId="35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Gestantes</a:t>
            </a:r>
            <a:r>
              <a:rPr lang="pt-BR" baseline="0"/>
              <a:t> entre 2000 x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1'!$B$2</c:f>
              <c:strCache>
                <c:ptCount val="1"/>
                <c:pt idx="0">
                  <c:v>Ano de 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1'!$B$3:$B$18</c:f>
              <c:numCache>
                <c:formatCode>#,##0</c:formatCode>
                <c:ptCount val="16"/>
                <c:pt idx="0">
                  <c:v>9983</c:v>
                </c:pt>
                <c:pt idx="1">
                  <c:v>6055</c:v>
                </c:pt>
                <c:pt idx="2">
                  <c:v>16008</c:v>
                </c:pt>
                <c:pt idx="3">
                  <c:v>91468</c:v>
                </c:pt>
                <c:pt idx="4">
                  <c:v>13170</c:v>
                </c:pt>
                <c:pt idx="5">
                  <c:v>11334</c:v>
                </c:pt>
                <c:pt idx="6">
                  <c:v>10941</c:v>
                </c:pt>
                <c:pt idx="7">
                  <c:v>14607</c:v>
                </c:pt>
                <c:pt idx="8">
                  <c:v>12203</c:v>
                </c:pt>
                <c:pt idx="9">
                  <c:v>5732</c:v>
                </c:pt>
                <c:pt idx="10">
                  <c:v>18190</c:v>
                </c:pt>
                <c:pt idx="11">
                  <c:v>28079</c:v>
                </c:pt>
                <c:pt idx="12">
                  <c:v>18046</c:v>
                </c:pt>
                <c:pt idx="13">
                  <c:v>37358</c:v>
                </c:pt>
                <c:pt idx="14">
                  <c:v>37023</c:v>
                </c:pt>
                <c:pt idx="15">
                  <c:v>367309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C-455F-AEDD-D2A05C493E9F}"/>
            </c:ext>
          </c:extLst>
        </c:ser>
        <c:ser>
          <c:idx val="1"/>
          <c:order val="1"/>
          <c:tx>
            <c:strRef>
              <c:f>'Pergunta 1'!$C$2</c:f>
              <c:strCache>
                <c:ptCount val="1"/>
                <c:pt idx="0">
                  <c:v>Ano de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1'!$C$3:$C$18</c:f>
              <c:numCache>
                <c:formatCode>#,##0</c:formatCode>
                <c:ptCount val="16"/>
                <c:pt idx="0">
                  <c:v>7164</c:v>
                </c:pt>
                <c:pt idx="1">
                  <c:v>4379</c:v>
                </c:pt>
                <c:pt idx="2">
                  <c:v>11099</c:v>
                </c:pt>
                <c:pt idx="3">
                  <c:v>72828</c:v>
                </c:pt>
                <c:pt idx="4">
                  <c:v>9870</c:v>
                </c:pt>
                <c:pt idx="5">
                  <c:v>7874</c:v>
                </c:pt>
                <c:pt idx="6">
                  <c:v>6349</c:v>
                </c:pt>
                <c:pt idx="7">
                  <c:v>9868</c:v>
                </c:pt>
                <c:pt idx="8">
                  <c:v>8268</c:v>
                </c:pt>
                <c:pt idx="9">
                  <c:v>3087</c:v>
                </c:pt>
                <c:pt idx="10">
                  <c:v>14057</c:v>
                </c:pt>
                <c:pt idx="11">
                  <c:v>18633</c:v>
                </c:pt>
                <c:pt idx="12">
                  <c:v>15490</c:v>
                </c:pt>
                <c:pt idx="13">
                  <c:v>26675</c:v>
                </c:pt>
                <c:pt idx="14">
                  <c:v>29232</c:v>
                </c:pt>
                <c:pt idx="15">
                  <c:v>225831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C-455F-AEDD-D2A05C49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97200"/>
        <c:axId val="24589280"/>
      </c:barChart>
      <c:catAx>
        <c:axId val="2269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9280"/>
        <c:crosses val="autoZero"/>
        <c:auto val="1"/>
        <c:lblAlgn val="ctr"/>
        <c:lblOffset val="100"/>
        <c:noMultiLvlLbl val="0"/>
      </c:catAx>
      <c:valAx>
        <c:axId val="2458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Idade média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Planilha2!$B$2:$B$18</c:f>
              <c:strCache>
                <c:ptCount val="17"/>
                <c:pt idx="0">
                  <c:v>Estado de São Paulo</c:v>
                </c:pt>
                <c:pt idx="1">
                  <c:v>RA Araçatuba</c:v>
                </c:pt>
                <c:pt idx="2">
                  <c:v>RA Barretos</c:v>
                </c:pt>
                <c:pt idx="3">
                  <c:v>RA Bauru</c:v>
                </c:pt>
                <c:pt idx="4">
                  <c:v>RA Campinas</c:v>
                </c:pt>
                <c:pt idx="5">
                  <c:v>RA Central</c:v>
                </c:pt>
                <c:pt idx="6">
                  <c:v>RA Franca</c:v>
                </c:pt>
                <c:pt idx="7">
                  <c:v>RA Itapeva</c:v>
                </c:pt>
                <c:pt idx="8">
                  <c:v>RA Marília</c:v>
                </c:pt>
                <c:pt idx="9">
                  <c:v>RA Presidente Prudente</c:v>
                </c:pt>
                <c:pt idx="10">
                  <c:v>RA Registro</c:v>
                </c:pt>
                <c:pt idx="11">
                  <c:v>RA Ribeirão Preto</c:v>
                </c:pt>
                <c:pt idx="12">
                  <c:v>RA Santos</c:v>
                </c:pt>
                <c:pt idx="13">
                  <c:v>RA São José do Rio Preto</c:v>
                </c:pt>
                <c:pt idx="14">
                  <c:v>RA São José dos Campos</c:v>
                </c:pt>
                <c:pt idx="15">
                  <c:v>RA Sorocaba</c:v>
                </c:pt>
                <c:pt idx="16">
                  <c:v>RM São Paulo</c:v>
                </c:pt>
              </c:strCache>
            </c:strRef>
          </c:cat>
          <c:val>
            <c:numRef>
              <c:f>Planilha2!$C$2:$C$18</c:f>
              <c:numCache>
                <c:formatCode>General</c:formatCode>
                <c:ptCount val="17"/>
                <c:pt idx="0">
                  <c:v>28.62</c:v>
                </c:pt>
                <c:pt idx="1">
                  <c:v>28.21</c:v>
                </c:pt>
                <c:pt idx="2">
                  <c:v>28.01</c:v>
                </c:pt>
                <c:pt idx="3">
                  <c:v>28.24</c:v>
                </c:pt>
                <c:pt idx="4">
                  <c:v>28.69</c:v>
                </c:pt>
                <c:pt idx="5">
                  <c:v>28.51</c:v>
                </c:pt>
                <c:pt idx="6">
                  <c:v>28.47</c:v>
                </c:pt>
                <c:pt idx="7">
                  <c:v>27.66</c:v>
                </c:pt>
                <c:pt idx="8">
                  <c:v>28.26</c:v>
                </c:pt>
                <c:pt idx="9">
                  <c:v>28.4</c:v>
                </c:pt>
                <c:pt idx="10">
                  <c:v>27.79</c:v>
                </c:pt>
                <c:pt idx="11">
                  <c:v>28.91</c:v>
                </c:pt>
                <c:pt idx="12">
                  <c:v>28.3</c:v>
                </c:pt>
                <c:pt idx="13">
                  <c:v>28.42</c:v>
                </c:pt>
                <c:pt idx="14">
                  <c:v>28.46</c:v>
                </c:pt>
                <c:pt idx="15">
                  <c:v>28.28</c:v>
                </c:pt>
                <c:pt idx="16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D-433B-A1C6-F465C70A55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8944351"/>
        <c:axId val="1028941471"/>
      </c:lineChart>
      <c:catAx>
        <c:axId val="10289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1471"/>
        <c:crosses val="autoZero"/>
        <c:auto val="1"/>
        <c:lblAlgn val="ctr"/>
        <c:lblOffset val="100"/>
        <c:noMultiLvlLbl val="0"/>
      </c:catAx>
      <c:valAx>
        <c:axId val="10289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Média SJC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1353046187145663E-2"/>
          <c:y val="0.16820216834665669"/>
          <c:w val="0.89268035137226343"/>
          <c:h val="0.655056431564187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3121387283237007E-2"/>
                  <c:y val="4.19647051896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5C-4999-927E-7FD22EB6CB31}"/>
                </c:ext>
              </c:extLst>
            </c:dLbl>
            <c:dLbl>
              <c:idx val="1"/>
              <c:layout>
                <c:manualLayout>
                  <c:x val="-3.3397559409120106E-2"/>
                  <c:y val="-6.4854544384059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5C-4999-927E-7FD22EB6CB31}"/>
                </c:ext>
              </c:extLst>
            </c:dLbl>
            <c:dLbl>
              <c:idx val="2"/>
              <c:layout>
                <c:manualLayout>
                  <c:x val="-7.7071290944123547E-3"/>
                  <c:y val="7.629946398124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5C-4999-927E-7FD22EB6CB31}"/>
                </c:ext>
              </c:extLst>
            </c:dLbl>
            <c:dLbl>
              <c:idx val="3"/>
              <c:layout>
                <c:manualLayout>
                  <c:x val="-2.3121387283237017E-2"/>
                  <c:y val="-6.8669517583121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5C-4999-927E-7FD22EB6CB31}"/>
                </c:ext>
              </c:extLst>
            </c:dLbl>
            <c:dLbl>
              <c:idx val="4"/>
              <c:layout>
                <c:manualLayout>
                  <c:x val="0"/>
                  <c:y val="8.7744383578432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5C-4999-927E-7FD22EB6CB31}"/>
                </c:ext>
              </c:extLst>
            </c:dLbl>
            <c:dLbl>
              <c:idx val="5"/>
              <c:layout>
                <c:manualLayout>
                  <c:x val="-2.569043031470777E-3"/>
                  <c:y val="-8.7744383578432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5C-4999-927E-7FD22EB6CB31}"/>
                </c:ext>
              </c:extLst>
            </c:dLbl>
            <c:dLbl>
              <c:idx val="6"/>
              <c:layout>
                <c:manualLayout>
                  <c:x val="1.2845215157353885E-2"/>
                  <c:y val="3.4334758791560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5C-4999-927E-7FD22EB6CB31}"/>
                </c:ext>
              </c:extLst>
            </c:dLbl>
            <c:dLbl>
              <c:idx val="7"/>
              <c:layout>
                <c:manualLayout>
                  <c:x val="7.7071290944122845E-3"/>
                  <c:y val="-7.2484490782183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5C-4999-927E-7FD22EB6CB31}"/>
                </c:ext>
              </c:extLst>
            </c:dLbl>
            <c:dLbl>
              <c:idx val="8"/>
              <c:layout>
                <c:manualLayout>
                  <c:x val="1.5414258188824663E-2"/>
                  <c:y val="6.1039571184996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5C-4999-927E-7FD22EB6CB31}"/>
                </c:ext>
              </c:extLst>
            </c:dLbl>
            <c:dLbl>
              <c:idx val="9"/>
              <c:layout>
                <c:manualLayout>
                  <c:x val="-1.5414258188824663E-2"/>
                  <c:y val="-9.155935677749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5C-4999-927E-7FD22EB6CB31}"/>
                </c:ext>
              </c:extLst>
            </c:dLbl>
            <c:dLbl>
              <c:idx val="10"/>
              <c:layout>
                <c:manualLayout>
                  <c:x val="-9.4197156313673933E-17"/>
                  <c:y val="-5.3409624786872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5C-4999-927E-7FD22EB6CB31}"/>
                </c:ext>
              </c:extLst>
            </c:dLbl>
            <c:dLbl>
              <c:idx val="11"/>
              <c:layout>
                <c:manualLayout>
                  <c:x val="0"/>
                  <c:y val="5.3409624786872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5C-4999-927E-7FD22EB6CB31}"/>
                </c:ext>
              </c:extLst>
            </c:dLbl>
            <c:dLbl>
              <c:idx val="12"/>
              <c:layout>
                <c:manualLayout>
                  <c:x val="-1.0276172125883203E-2"/>
                  <c:y val="-9.155935677749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5C-4999-927E-7FD22EB6CB31}"/>
                </c:ext>
              </c:extLst>
            </c:dLbl>
            <c:dLbl>
              <c:idx val="13"/>
              <c:layout>
                <c:manualLayout>
                  <c:x val="2.5690430314706829E-3"/>
                  <c:y val="4.57796783887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5C-4999-927E-7FD22EB6CB31}"/>
                </c:ext>
              </c:extLst>
            </c:dLbl>
            <c:dLbl>
              <c:idx val="14"/>
              <c:layout>
                <c:manualLayout>
                  <c:x val="-1.7983301220295438E-2"/>
                  <c:y val="-6.8669517583121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5C-4999-927E-7FD22EB6CB31}"/>
                </c:ext>
              </c:extLst>
            </c:dLbl>
            <c:dLbl>
              <c:idx val="15"/>
              <c:layout>
                <c:manualLayout>
                  <c:x val="-2.569043031470777E-3"/>
                  <c:y val="6.8669517583121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5C-4999-927E-7FD22EB6CB31}"/>
                </c:ext>
              </c:extLst>
            </c:dLbl>
            <c:dLbl>
              <c:idx val="16"/>
              <c:layout>
                <c:manualLayout>
                  <c:x val="-2.8259473346178642E-2"/>
                  <c:y val="-6.485454438405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5C-4999-927E-7FD22EB6CB31}"/>
                </c:ext>
              </c:extLst>
            </c:dLbl>
            <c:dLbl>
              <c:idx val="17"/>
              <c:layout>
                <c:manualLayout>
                  <c:x val="-2.0552344251766313E-2"/>
                  <c:y val="8.0114437180308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5C-4999-927E-7FD22EB6CB31}"/>
                </c:ext>
              </c:extLst>
            </c:dLbl>
            <c:dLbl>
              <c:idx val="18"/>
              <c:layout>
                <c:manualLayout>
                  <c:x val="-3.8535645472061654E-2"/>
                  <c:y val="-7.2484490782183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5C-4999-927E-7FD22EB6CB31}"/>
                </c:ext>
              </c:extLst>
            </c:dLbl>
            <c:dLbl>
              <c:idx val="19"/>
              <c:layout>
                <c:manualLayout>
                  <c:x val="-1.0276172125883203E-2"/>
                  <c:y val="0.103004276374682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5C-4999-927E-7FD22EB6CB31}"/>
                </c:ext>
              </c:extLst>
            </c:dLbl>
            <c:dLbl>
              <c:idx val="20"/>
              <c:layout>
                <c:manualLayout>
                  <c:x val="-3.8535645472061654E-2"/>
                  <c:y val="-9.1559356777495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5C-4999-927E-7FD22EB6CB31}"/>
                </c:ext>
              </c:extLst>
            </c:dLbl>
            <c:dLbl>
              <c:idx val="21"/>
              <c:layout>
                <c:manualLayout>
                  <c:x val="4.1104688503532244E-2"/>
                  <c:y val="6.8669517583121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5C-4999-927E-7FD22EB6CB31}"/>
                </c:ext>
              </c:extLst>
            </c:dLbl>
            <c:dLbl>
              <c:idx val="22"/>
              <c:layout>
                <c:manualLayout>
                  <c:x val="0"/>
                  <c:y val="-8.3929410379370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5C-4999-927E-7FD22EB6CB31}"/>
                </c:ext>
              </c:extLst>
            </c:dLbl>
            <c:dLbl>
              <c:idx val="23"/>
              <c:layout>
                <c:manualLayout>
                  <c:x val="1.7983301220295438E-2"/>
                  <c:y val="5.722459798593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5C-4999-927E-7FD22EB6CB31}"/>
                </c:ext>
              </c:extLst>
            </c:dLbl>
            <c:dLbl>
              <c:idx val="24"/>
              <c:layout>
                <c:manualLayout>
                  <c:x val="-2.569043031470777E-3"/>
                  <c:y val="-3.8149731990623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5C-4999-927E-7FD22EB6CB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Planilha3!$A$2:$A$27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Planilha3!$C$2:$C$27</c:f>
              <c:numCache>
                <c:formatCode>General</c:formatCode>
                <c:ptCount val="26"/>
                <c:pt idx="0">
                  <c:v>26.3</c:v>
                </c:pt>
                <c:pt idx="1">
                  <c:v>26.5</c:v>
                </c:pt>
                <c:pt idx="2">
                  <c:v>26.5</c:v>
                </c:pt>
                <c:pt idx="3">
                  <c:v>26.6</c:v>
                </c:pt>
                <c:pt idx="4">
                  <c:v>26.7</c:v>
                </c:pt>
                <c:pt idx="5">
                  <c:v>26.7</c:v>
                </c:pt>
                <c:pt idx="6">
                  <c:v>26.7</c:v>
                </c:pt>
                <c:pt idx="7">
                  <c:v>26.8</c:v>
                </c:pt>
                <c:pt idx="8">
                  <c:v>26.9</c:v>
                </c:pt>
                <c:pt idx="9">
                  <c:v>27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27.3</c:v>
                </c:pt>
                <c:pt idx="14">
                  <c:v>27.4</c:v>
                </c:pt>
                <c:pt idx="15">
                  <c:v>27.5</c:v>
                </c:pt>
                <c:pt idx="16">
                  <c:v>27.7</c:v>
                </c:pt>
                <c:pt idx="17">
                  <c:v>27.9</c:v>
                </c:pt>
                <c:pt idx="18">
                  <c:v>28.1</c:v>
                </c:pt>
                <c:pt idx="19">
                  <c:v>28.2</c:v>
                </c:pt>
                <c:pt idx="20">
                  <c:v>28.1</c:v>
                </c:pt>
                <c:pt idx="21">
                  <c:v>28.3</c:v>
                </c:pt>
                <c:pt idx="22">
                  <c:v>28.5</c:v>
                </c:pt>
                <c:pt idx="23">
                  <c:v>28.4</c:v>
                </c:pt>
                <c:pt idx="24">
                  <c:v>28.46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2-421E-BB58-6C73D048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05968"/>
        <c:axId val="24581792"/>
      </c:lineChart>
      <c:catAx>
        <c:axId val="19358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1792"/>
        <c:crosses val="autoZero"/>
        <c:auto val="1"/>
        <c:lblAlgn val="ctr"/>
        <c:lblOffset val="100"/>
        <c:noMultiLvlLbl val="0"/>
      </c:catAx>
      <c:valAx>
        <c:axId val="245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58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regional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080545267809912E-2"/>
          <c:y val="0.12996928479823766"/>
          <c:w val="0.94791945473219008"/>
          <c:h val="0.5955722320449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Planilha4!$B$2</c:f>
              <c:strCache>
                <c:ptCount val="1"/>
                <c:pt idx="0">
                  <c:v>Estado de São Paulo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Planilha4!$C$2:$I$2</c:f>
              <c:numCache>
                <c:formatCode>General</c:formatCode>
                <c:ptCount val="7"/>
                <c:pt idx="0">
                  <c:v>58.53</c:v>
                </c:pt>
                <c:pt idx="1">
                  <c:v>95.18</c:v>
                </c:pt>
                <c:pt idx="2">
                  <c:v>90.21</c:v>
                </c:pt>
                <c:pt idx="3">
                  <c:v>66.959999999999994</c:v>
                </c:pt>
                <c:pt idx="4">
                  <c:v>35.07</c:v>
                </c:pt>
                <c:pt idx="5">
                  <c:v>9.48</c:v>
                </c:pt>
                <c:pt idx="6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1-454D-AD1A-94DBC6CEC265}"/>
            </c:ext>
          </c:extLst>
        </c:ser>
        <c:ser>
          <c:idx val="1"/>
          <c:order val="1"/>
          <c:tx>
            <c:strRef>
              <c:f>Planilha4!$B$3</c:f>
              <c:strCache>
                <c:ptCount val="1"/>
                <c:pt idx="0">
                  <c:v>RA Araçatuba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Planilha4!$C$3:$I$3</c:f>
              <c:numCache>
                <c:formatCode>General</c:formatCode>
                <c:ptCount val="7"/>
                <c:pt idx="0">
                  <c:v>53.6</c:v>
                </c:pt>
                <c:pt idx="1">
                  <c:v>86.06</c:v>
                </c:pt>
                <c:pt idx="2">
                  <c:v>78.849999999999994</c:v>
                </c:pt>
                <c:pt idx="3">
                  <c:v>52.93</c:v>
                </c:pt>
                <c:pt idx="4">
                  <c:v>23.31</c:v>
                </c:pt>
                <c:pt idx="5">
                  <c:v>5.79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1-454D-AD1A-94DBC6CEC265}"/>
            </c:ext>
          </c:extLst>
        </c:ser>
        <c:ser>
          <c:idx val="2"/>
          <c:order val="2"/>
          <c:tx>
            <c:strRef>
              <c:f>Planilha4!$B$4</c:f>
              <c:strCache>
                <c:ptCount val="1"/>
                <c:pt idx="0">
                  <c:v>RA Barretos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Planilha4!$C$4:$I$4</c:f>
              <c:numCache>
                <c:formatCode>General</c:formatCode>
                <c:ptCount val="7"/>
                <c:pt idx="0">
                  <c:v>66.760000000000005</c:v>
                </c:pt>
                <c:pt idx="1">
                  <c:v>100.77</c:v>
                </c:pt>
                <c:pt idx="2">
                  <c:v>80.73</c:v>
                </c:pt>
                <c:pt idx="3">
                  <c:v>52.09</c:v>
                </c:pt>
                <c:pt idx="4">
                  <c:v>24.47</c:v>
                </c:pt>
                <c:pt idx="5">
                  <c:v>5.37</c:v>
                </c:pt>
                <c:pt idx="6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1-454D-AD1A-94DBC6CEC265}"/>
            </c:ext>
          </c:extLst>
        </c:ser>
        <c:ser>
          <c:idx val="3"/>
          <c:order val="3"/>
          <c:tx>
            <c:strRef>
              <c:f>Planilha4!$B$5</c:f>
              <c:strCache>
                <c:ptCount val="1"/>
                <c:pt idx="0">
                  <c:v>RA Bauru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Planilha4!$C$5:$I$5</c:f>
              <c:numCache>
                <c:formatCode>General</c:formatCode>
                <c:ptCount val="7"/>
                <c:pt idx="0">
                  <c:v>61.86</c:v>
                </c:pt>
                <c:pt idx="1">
                  <c:v>94.23</c:v>
                </c:pt>
                <c:pt idx="2">
                  <c:v>86.32</c:v>
                </c:pt>
                <c:pt idx="3">
                  <c:v>57.93</c:v>
                </c:pt>
                <c:pt idx="4">
                  <c:v>27.42</c:v>
                </c:pt>
                <c:pt idx="5">
                  <c:v>5.61</c:v>
                </c:pt>
                <c:pt idx="6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1-454D-AD1A-94DBC6CEC265}"/>
            </c:ext>
          </c:extLst>
        </c:ser>
        <c:ser>
          <c:idx val="4"/>
          <c:order val="4"/>
          <c:tx>
            <c:strRef>
              <c:f>Planilha4!$B$6</c:f>
              <c:strCache>
                <c:ptCount val="1"/>
                <c:pt idx="0">
                  <c:v>RA Campinas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Planilha4!$C$6:$I$6</c:f>
              <c:numCache>
                <c:formatCode>General</c:formatCode>
                <c:ptCount val="7"/>
                <c:pt idx="0">
                  <c:v>53.12</c:v>
                </c:pt>
                <c:pt idx="1">
                  <c:v>88.1</c:v>
                </c:pt>
                <c:pt idx="2">
                  <c:v>85.89</c:v>
                </c:pt>
                <c:pt idx="3">
                  <c:v>62.33</c:v>
                </c:pt>
                <c:pt idx="4">
                  <c:v>30.68</c:v>
                </c:pt>
                <c:pt idx="5">
                  <c:v>8.09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1-454D-AD1A-94DBC6CEC265}"/>
            </c:ext>
          </c:extLst>
        </c:ser>
        <c:ser>
          <c:idx val="5"/>
          <c:order val="5"/>
          <c:tx>
            <c:strRef>
              <c:f>Planilha4!$B$7</c:f>
              <c:strCache>
                <c:ptCount val="1"/>
                <c:pt idx="0">
                  <c:v>RA Central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Planilha4!$C$7:$I$7</c:f>
              <c:numCache>
                <c:formatCode>General</c:formatCode>
                <c:ptCount val="7"/>
                <c:pt idx="0">
                  <c:v>57.06</c:v>
                </c:pt>
                <c:pt idx="1">
                  <c:v>88.87</c:v>
                </c:pt>
                <c:pt idx="2">
                  <c:v>83.66</c:v>
                </c:pt>
                <c:pt idx="3">
                  <c:v>58.05</c:v>
                </c:pt>
                <c:pt idx="4">
                  <c:v>26.26</c:v>
                </c:pt>
                <c:pt idx="5">
                  <c:v>6.46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1-454D-AD1A-94DBC6CEC265}"/>
            </c:ext>
          </c:extLst>
        </c:ser>
        <c:ser>
          <c:idx val="6"/>
          <c:order val="6"/>
          <c:tx>
            <c:strRef>
              <c:f>Planilha4!$B$8</c:f>
              <c:strCache>
                <c:ptCount val="1"/>
                <c:pt idx="0">
                  <c:v>RA Franca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Planilha4!$C$8:$I$8</c:f>
              <c:numCache>
                <c:formatCode>General</c:formatCode>
                <c:ptCount val="7"/>
                <c:pt idx="0">
                  <c:v>64.61</c:v>
                </c:pt>
                <c:pt idx="1">
                  <c:v>104.37</c:v>
                </c:pt>
                <c:pt idx="2">
                  <c:v>95.03</c:v>
                </c:pt>
                <c:pt idx="3">
                  <c:v>64.239999999999995</c:v>
                </c:pt>
                <c:pt idx="4">
                  <c:v>32.26</c:v>
                </c:pt>
                <c:pt idx="5">
                  <c:v>8.77</c:v>
                </c:pt>
                <c:pt idx="6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1-454D-AD1A-94DBC6CEC265}"/>
            </c:ext>
          </c:extLst>
        </c:ser>
        <c:ser>
          <c:idx val="7"/>
          <c:order val="7"/>
          <c:tx>
            <c:strRef>
              <c:f>Planilha4!$B$9</c:f>
              <c:strCache>
                <c:ptCount val="1"/>
                <c:pt idx="0">
                  <c:v>RA Itapeva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Planilha4!$C$9:$I$9</c:f>
              <c:numCache>
                <c:formatCode>General</c:formatCode>
                <c:ptCount val="7"/>
                <c:pt idx="0">
                  <c:v>90.82</c:v>
                </c:pt>
                <c:pt idx="1">
                  <c:v>135.81</c:v>
                </c:pt>
                <c:pt idx="2">
                  <c:v>102.9</c:v>
                </c:pt>
                <c:pt idx="3">
                  <c:v>64.430000000000007</c:v>
                </c:pt>
                <c:pt idx="4">
                  <c:v>35.04</c:v>
                </c:pt>
                <c:pt idx="5">
                  <c:v>12.11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11-454D-AD1A-94DBC6CEC265}"/>
            </c:ext>
          </c:extLst>
        </c:ser>
        <c:ser>
          <c:idx val="8"/>
          <c:order val="8"/>
          <c:tx>
            <c:strRef>
              <c:f>Planilha4!$B$10</c:f>
              <c:strCache>
                <c:ptCount val="1"/>
                <c:pt idx="0">
                  <c:v>RA Marília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Planilha4!$C$10:$I$10</c:f>
              <c:numCache>
                <c:formatCode>General</c:formatCode>
                <c:ptCount val="7"/>
                <c:pt idx="0">
                  <c:v>63.46</c:v>
                </c:pt>
                <c:pt idx="1">
                  <c:v>93.32</c:v>
                </c:pt>
                <c:pt idx="2">
                  <c:v>91.25</c:v>
                </c:pt>
                <c:pt idx="3">
                  <c:v>58.59</c:v>
                </c:pt>
                <c:pt idx="4">
                  <c:v>26.96</c:v>
                </c:pt>
                <c:pt idx="5">
                  <c:v>5.86</c:v>
                </c:pt>
                <c:pt idx="6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11-454D-AD1A-94DBC6CEC265}"/>
            </c:ext>
          </c:extLst>
        </c:ser>
        <c:ser>
          <c:idx val="9"/>
          <c:order val="9"/>
          <c:tx>
            <c:strRef>
              <c:f>Planilha4!$B$11</c:f>
              <c:strCache>
                <c:ptCount val="1"/>
                <c:pt idx="0">
                  <c:v>RA Presidente Prudente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Planilha4!$C$11:$I$11</c:f>
              <c:numCache>
                <c:formatCode>General</c:formatCode>
                <c:ptCount val="7"/>
                <c:pt idx="0">
                  <c:v>57.98</c:v>
                </c:pt>
                <c:pt idx="1">
                  <c:v>91.37</c:v>
                </c:pt>
                <c:pt idx="2">
                  <c:v>87.52</c:v>
                </c:pt>
                <c:pt idx="3">
                  <c:v>56.22</c:v>
                </c:pt>
                <c:pt idx="4">
                  <c:v>27.53</c:v>
                </c:pt>
                <c:pt idx="5">
                  <c:v>7.03</c:v>
                </c:pt>
                <c:pt idx="6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11-454D-AD1A-94DBC6CEC265}"/>
            </c:ext>
          </c:extLst>
        </c:ser>
        <c:ser>
          <c:idx val="10"/>
          <c:order val="10"/>
          <c:tx>
            <c:strRef>
              <c:f>Planilha4!$B$12</c:f>
              <c:strCache>
                <c:ptCount val="1"/>
                <c:pt idx="0">
                  <c:v>RA Registro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Planilha4!$C$12:$I$12</c:f>
              <c:numCache>
                <c:formatCode>General</c:formatCode>
                <c:ptCount val="7"/>
                <c:pt idx="0">
                  <c:v>84.45</c:v>
                </c:pt>
                <c:pt idx="1">
                  <c:v>131.12</c:v>
                </c:pt>
                <c:pt idx="2">
                  <c:v>111.26</c:v>
                </c:pt>
                <c:pt idx="3">
                  <c:v>69.64</c:v>
                </c:pt>
                <c:pt idx="4">
                  <c:v>39.770000000000003</c:v>
                </c:pt>
                <c:pt idx="5">
                  <c:v>10.95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11-454D-AD1A-94DBC6CEC265}"/>
            </c:ext>
          </c:extLst>
        </c:ser>
        <c:ser>
          <c:idx val="11"/>
          <c:order val="11"/>
          <c:tx>
            <c:strRef>
              <c:f>Planilha4!$B$13</c:f>
              <c:strCache>
                <c:ptCount val="1"/>
                <c:pt idx="0">
                  <c:v>RA Ribeirão Preto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Planilha4!$C$13:$I$13</c:f>
              <c:numCache>
                <c:formatCode>General</c:formatCode>
                <c:ptCount val="7"/>
                <c:pt idx="0">
                  <c:v>57.61</c:v>
                </c:pt>
                <c:pt idx="1">
                  <c:v>91.61</c:v>
                </c:pt>
                <c:pt idx="2">
                  <c:v>83.73</c:v>
                </c:pt>
                <c:pt idx="3">
                  <c:v>63.79</c:v>
                </c:pt>
                <c:pt idx="4">
                  <c:v>29.32</c:v>
                </c:pt>
                <c:pt idx="5">
                  <c:v>7.44</c:v>
                </c:pt>
                <c:pt idx="6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11-454D-AD1A-94DBC6CEC265}"/>
            </c:ext>
          </c:extLst>
        </c:ser>
        <c:ser>
          <c:idx val="12"/>
          <c:order val="12"/>
          <c:tx>
            <c:strRef>
              <c:f>Planilha4!$B$14</c:f>
              <c:strCache>
                <c:ptCount val="1"/>
                <c:pt idx="0">
                  <c:v>RA Santos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Planilha4!$C$14:$I$14</c:f>
              <c:numCache>
                <c:formatCode>General</c:formatCode>
                <c:ptCount val="7"/>
                <c:pt idx="0">
                  <c:v>63.25</c:v>
                </c:pt>
                <c:pt idx="1">
                  <c:v>101.87</c:v>
                </c:pt>
                <c:pt idx="2">
                  <c:v>96.43</c:v>
                </c:pt>
                <c:pt idx="3">
                  <c:v>69.48</c:v>
                </c:pt>
                <c:pt idx="4">
                  <c:v>38</c:v>
                </c:pt>
                <c:pt idx="5">
                  <c:v>10.51</c:v>
                </c:pt>
                <c:pt idx="6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11-454D-AD1A-94DBC6CEC265}"/>
            </c:ext>
          </c:extLst>
        </c:ser>
        <c:ser>
          <c:idx val="13"/>
          <c:order val="13"/>
          <c:tx>
            <c:strRef>
              <c:f>Planilha4!$B$15</c:f>
              <c:strCache>
                <c:ptCount val="1"/>
                <c:pt idx="0">
                  <c:v>RA São José do Rio Preto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Planilha4!$C$15:$I$15</c:f>
              <c:numCache>
                <c:formatCode>General</c:formatCode>
                <c:ptCount val="7"/>
                <c:pt idx="0">
                  <c:v>52.63</c:v>
                </c:pt>
                <c:pt idx="1">
                  <c:v>82.37</c:v>
                </c:pt>
                <c:pt idx="2">
                  <c:v>80.5</c:v>
                </c:pt>
                <c:pt idx="3">
                  <c:v>47.72</c:v>
                </c:pt>
                <c:pt idx="4">
                  <c:v>22.79</c:v>
                </c:pt>
                <c:pt idx="5">
                  <c:v>4.43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11-454D-AD1A-94DBC6CEC265}"/>
            </c:ext>
          </c:extLst>
        </c:ser>
        <c:ser>
          <c:idx val="14"/>
          <c:order val="14"/>
          <c:tx>
            <c:strRef>
              <c:f>Planilha4!$B$16</c:f>
              <c:strCache>
                <c:ptCount val="1"/>
                <c:pt idx="0">
                  <c:v>RA São José dos Campos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Planilha4!$C$16:$I$16</c:f>
              <c:numCache>
                <c:formatCode>General</c:formatCode>
                <c:ptCount val="7"/>
                <c:pt idx="0">
                  <c:v>57.56</c:v>
                </c:pt>
                <c:pt idx="1">
                  <c:v>100.78</c:v>
                </c:pt>
                <c:pt idx="2">
                  <c:v>91.7</c:v>
                </c:pt>
                <c:pt idx="3">
                  <c:v>64.39</c:v>
                </c:pt>
                <c:pt idx="4">
                  <c:v>31.7</c:v>
                </c:pt>
                <c:pt idx="5">
                  <c:v>9.1999999999999993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11-454D-AD1A-94DBC6CEC265}"/>
            </c:ext>
          </c:extLst>
        </c:ser>
        <c:ser>
          <c:idx val="15"/>
          <c:order val="15"/>
          <c:tx>
            <c:strRef>
              <c:f>Planilha4!$B$17</c:f>
              <c:strCache>
                <c:ptCount val="1"/>
                <c:pt idx="0">
                  <c:v>RA Sorocaba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Planilha4!$C$17:$I$17</c:f>
              <c:numCache>
                <c:formatCode>General</c:formatCode>
                <c:ptCount val="7"/>
                <c:pt idx="0">
                  <c:v>62.32</c:v>
                </c:pt>
                <c:pt idx="1">
                  <c:v>101.84</c:v>
                </c:pt>
                <c:pt idx="2">
                  <c:v>92.32</c:v>
                </c:pt>
                <c:pt idx="3">
                  <c:v>62.72</c:v>
                </c:pt>
                <c:pt idx="4">
                  <c:v>31.41</c:v>
                </c:pt>
                <c:pt idx="5">
                  <c:v>8.49</c:v>
                </c:pt>
                <c:pt idx="6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211-454D-AD1A-94DBC6CEC265}"/>
            </c:ext>
          </c:extLst>
        </c:ser>
        <c:ser>
          <c:idx val="16"/>
          <c:order val="16"/>
          <c:tx>
            <c:strRef>
              <c:f>Planilha4!$B$18</c:f>
              <c:strCache>
                <c:ptCount val="1"/>
                <c:pt idx="0">
                  <c:v>RM São Paulo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Planilha4!$C$18:$I$18</c:f>
              <c:numCache>
                <c:formatCode>General</c:formatCode>
                <c:ptCount val="7"/>
                <c:pt idx="0">
                  <c:v>58.05</c:v>
                </c:pt>
                <c:pt idx="1">
                  <c:v>95.52</c:v>
                </c:pt>
                <c:pt idx="2">
                  <c:v>91.97</c:v>
                </c:pt>
                <c:pt idx="3">
                  <c:v>72.709999999999994</c:v>
                </c:pt>
                <c:pt idx="4">
                  <c:v>40.19</c:v>
                </c:pt>
                <c:pt idx="5">
                  <c:v>11.21</c:v>
                </c:pt>
                <c:pt idx="6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11-454D-AD1A-94DBC6CEC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3200"/>
        <c:axId val="62111904"/>
      </c:barChart>
      <c:catAx>
        <c:axId val="583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1904"/>
        <c:crosses val="autoZero"/>
        <c:auto val="1"/>
        <c:lblAlgn val="ctr"/>
        <c:lblOffset val="100"/>
        <c:noMultiLvlLbl val="0"/>
      </c:catAx>
      <c:valAx>
        <c:axId val="621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</a:t>
            </a:r>
            <a:r>
              <a:rPr lang="en-US" baseline="0"/>
              <a:t> total de gestantes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Planilha5!$J$1</c:f>
              <c:strCache>
                <c:ptCount val="1"/>
                <c:pt idx="0">
                  <c:v>SOMA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Planilha5!$B$2:$B$18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Planilha5!$J$2:$J$18</c:f>
              <c:numCache>
                <c:formatCode>General</c:formatCode>
                <c:ptCount val="17"/>
                <c:pt idx="0">
                  <c:v>303.77</c:v>
                </c:pt>
                <c:pt idx="1">
                  <c:v>308.92999999999995</c:v>
                </c:pt>
                <c:pt idx="2">
                  <c:v>313.15999999999997</c:v>
                </c:pt>
                <c:pt idx="3">
                  <c:v>306.10000000000002</c:v>
                </c:pt>
                <c:pt idx="4">
                  <c:v>302.39</c:v>
                </c:pt>
                <c:pt idx="5">
                  <c:v>321.33000000000004</c:v>
                </c:pt>
                <c:pt idx="6">
                  <c:v>364.04999999999995</c:v>
                </c:pt>
                <c:pt idx="7">
                  <c:v>328.77</c:v>
                </c:pt>
                <c:pt idx="8">
                  <c:v>322.11</c:v>
                </c:pt>
                <c:pt idx="9">
                  <c:v>375.92</c:v>
                </c:pt>
                <c:pt idx="10">
                  <c:v>294.96000000000004</c:v>
                </c:pt>
                <c:pt idx="11">
                  <c:v>338.49</c:v>
                </c:pt>
                <c:pt idx="12">
                  <c:v>306.38</c:v>
                </c:pt>
                <c:pt idx="13">
                  <c:v>329.56</c:v>
                </c:pt>
                <c:pt idx="14">
                  <c:v>326.73</c:v>
                </c:pt>
                <c:pt idx="15">
                  <c:v>327.34999999999997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3-42D7-AD57-20B5C5CD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7488"/>
        <c:axId val="1934407152"/>
      </c:barChart>
      <c:catAx>
        <c:axId val="971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407152"/>
        <c:crosses val="autoZero"/>
        <c:auto val="1"/>
        <c:lblAlgn val="ctr"/>
        <c:lblOffset val="100"/>
        <c:noMultiLvlLbl val="0"/>
      </c:catAx>
      <c:valAx>
        <c:axId val="19344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11</xdr:row>
      <xdr:rowOff>138111</xdr:rowOff>
    </xdr:from>
    <xdr:to>
      <xdr:col>15</xdr:col>
      <xdr:colOff>533400</xdr:colOff>
      <xdr:row>33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FED64C-EDF2-4B30-BF48-732B29566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308264</xdr:colOff>
      <xdr:row>2</xdr:row>
      <xdr:rowOff>70961</xdr:rowOff>
    </xdr:from>
    <xdr:to>
      <xdr:col>12</xdr:col>
      <xdr:colOff>339437</xdr:colOff>
      <xdr:row>9</xdr:row>
      <xdr:rowOff>5239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4EA3E4-279B-4049-83CE-EBA21CEE9996}"/>
            </a:ext>
          </a:extLst>
        </xdr:cNvPr>
        <xdr:cNvSpPr/>
      </xdr:nvSpPr>
      <xdr:spPr>
        <a:xfrm>
          <a:off x="5689889" y="451961"/>
          <a:ext cx="3688773" cy="126777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tx1"/>
              </a:solidFill>
            </a:rPr>
            <a:t>Faça</a:t>
          </a:r>
          <a:r>
            <a:rPr lang="pt-BR" sz="1600" b="1" baseline="0">
              <a:solidFill>
                <a:schemeClr val="tx1"/>
              </a:solidFill>
            </a:rPr>
            <a:t> uma comparação entre a quantidade de nascidos entre 2000 e 2024 e perceba, onde a mudança foi mais perceptível?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119062</xdr:colOff>
      <xdr:row>11</xdr:row>
      <xdr:rowOff>119061</xdr:rowOff>
    </xdr:from>
    <xdr:to>
      <xdr:col>15</xdr:col>
      <xdr:colOff>571500</xdr:colOff>
      <xdr:row>31</xdr:row>
      <xdr:rowOff>123824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877F1D-989C-3815-FC24-36F263608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3</xdr:row>
      <xdr:rowOff>85725</xdr:rowOff>
    </xdr:from>
    <xdr:to>
      <xdr:col>13</xdr:col>
      <xdr:colOff>516948</xdr:colOff>
      <xdr:row>7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131D991-B245-4C0B-BABB-A8F43FFD2AB7}"/>
            </a:ext>
          </a:extLst>
        </xdr:cNvPr>
        <xdr:cNvSpPr/>
      </xdr:nvSpPr>
      <xdr:spPr>
        <a:xfrm>
          <a:off x="6638925" y="6572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Qual região apresentou a maior idade média das gestantes no ano de 2024</a:t>
          </a:r>
          <a:r>
            <a:rPr lang="pt-BR" sz="1600" b="1" baseline="0">
              <a:solidFill>
                <a:schemeClr val="tx1"/>
              </a:solidFill>
            </a:rPr>
            <a:t>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9</xdr:row>
      <xdr:rowOff>176212</xdr:rowOff>
    </xdr:from>
    <xdr:to>
      <xdr:col>12</xdr:col>
      <xdr:colOff>523874</xdr:colOff>
      <xdr:row>27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DB5335-344C-40C5-8013-56C9854D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</xdr:row>
      <xdr:rowOff>47625</xdr:rowOff>
    </xdr:from>
    <xdr:to>
      <xdr:col>11</xdr:col>
      <xdr:colOff>240723</xdr:colOff>
      <xdr:row>6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6FE5BDC-6041-4130-87FD-52F697AD220F}"/>
            </a:ext>
          </a:extLst>
        </xdr:cNvPr>
        <xdr:cNvSpPr/>
      </xdr:nvSpPr>
      <xdr:spPr>
        <a:xfrm>
          <a:off x="4619625" y="4286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Qual a idade média de gestantes em São José dos Campos no decorrer dos anos?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61912</xdr:rowOff>
    </xdr:from>
    <xdr:to>
      <xdr:col>25</xdr:col>
      <xdr:colOff>457200</xdr:colOff>
      <xdr:row>30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607041-F495-4B59-85B3-169D5FD7E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361949</xdr:colOff>
      <xdr:row>4</xdr:row>
      <xdr:rowOff>123825</xdr:rowOff>
    </xdr:from>
    <xdr:to>
      <xdr:col>20</xdr:col>
      <xdr:colOff>447674</xdr:colOff>
      <xdr:row>8</xdr:row>
      <xdr:rowOff>19051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DAC7D5F-CC7C-4D89-913F-370499EA57C0}"/>
            </a:ext>
          </a:extLst>
        </xdr:cNvPr>
        <xdr:cNvSpPr/>
      </xdr:nvSpPr>
      <xdr:spPr>
        <a:xfrm>
          <a:off x="9210674" y="885825"/>
          <a:ext cx="4352925" cy="6572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Entre a faixa etária de 20 a 24 anos qual foi a região com maior taxa de fecundidade?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11</xdr:row>
      <xdr:rowOff>166687</xdr:rowOff>
    </xdr:from>
    <xdr:to>
      <xdr:col>20</xdr:col>
      <xdr:colOff>228600</xdr:colOff>
      <xdr:row>30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E7881-8EF9-4DD7-8A57-2B4E68D3B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2</xdr:row>
      <xdr:rowOff>171450</xdr:rowOff>
    </xdr:from>
    <xdr:to>
      <xdr:col>17</xdr:col>
      <xdr:colOff>545523</xdr:colOff>
      <xdr:row>8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AE211B9-57F1-4698-AB59-D943503749F9}"/>
            </a:ext>
          </a:extLst>
        </xdr:cNvPr>
        <xdr:cNvSpPr/>
      </xdr:nvSpPr>
      <xdr:spPr>
        <a:xfrm>
          <a:off x="8191500" y="552450"/>
          <a:ext cx="3688773" cy="1009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 baseline="0">
              <a:solidFill>
                <a:schemeClr val="tx1"/>
              </a:solidFill>
            </a:rPr>
            <a:t>Qual a média total de cada região de mulheres que engravidaram no ano de 2020 em SP?</a:t>
          </a:r>
          <a:endParaRPr lang="pt-BR" sz="18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426" totalsRowShown="0">
  <autoFilter ref="A1:L426" xr:uid="{00000000-0009-0000-0100-000001000000}"/>
  <tableColumns count="12">
    <tableColumn id="1" xr3:uid="{00000000-0010-0000-0000-000001000000}" name="ano"/>
    <tableColumn id="2" xr3:uid="{00000000-0010-0000-0000-000002000000}" name="Região"/>
    <tableColumn id="3" xr3:uid="{00000000-0010-0000-0000-000003000000}" name="Nascidos" dataDxfId="3"/>
    <tableColumn id="4" xr3:uid="{00000000-0010-0000-0000-000004000000}" name=" 15 a 19"/>
    <tableColumn id="5" xr3:uid="{00000000-0010-0000-0000-000005000000}" name="20 a 24"/>
    <tableColumn id="6" xr3:uid="{00000000-0010-0000-0000-000006000000}" name="25 a 29"/>
    <tableColumn id="7" xr3:uid="{00000000-0010-0000-0000-000007000000}" name="30 a 34"/>
    <tableColumn id="8" xr3:uid="{00000000-0010-0000-0000-000008000000}" name="35 a 39"/>
    <tableColumn id="9" xr3:uid="{00000000-0010-0000-0000-000009000000}" name="40 a 44"/>
    <tableColumn id="10" xr3:uid="{00000000-0010-0000-0000-00000A000000}" name="45 a 49"/>
    <tableColumn id="11" xr3:uid="{00000000-0010-0000-0000-00000B000000}" name="Fec total"/>
    <tableColumn id="12" xr3:uid="{00000000-0010-0000-0000-00000C000000}" name="Idade média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9DAD24-5448-4EC5-A4BC-E02C0F3B418C}" name="Tabela2" displayName="Tabela2" ref="A1:E18" totalsRowShown="0">
  <autoFilter ref="A1:E18" xr:uid="{9F9DAD24-5448-4EC5-A4BC-E02C0F3B418C}"/>
  <tableColumns count="5">
    <tableColumn id="1" xr3:uid="{807B561C-805B-46DA-85B2-F44FCB39BBFA}" name="ano"/>
    <tableColumn id="2" xr3:uid="{1CE32D6B-4670-40F3-9144-44A742EC496F}" name="Região"/>
    <tableColumn id="3" xr3:uid="{164F5C33-7075-4905-A755-FCCDE6E8841F}" name="Idade média total"/>
    <tableColumn id="4" xr3:uid="{6C630404-7A0C-44E0-9733-E3EC2981F169}" name="Maior média" dataDxfId="2">
      <calculatedColumnFormula>MAX(C2:C18)</calculatedColumnFormula>
    </tableColumn>
    <tableColumn id="5" xr3:uid="{71DE435A-5F6A-4FB1-B928-0B398C29C731}" name="Regiões " dataDxfId="1">
      <calculatedColumnFormula>_xlfn.XLOOKUP(MAX(C2:C18),C2:C18,B2:B18)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1:C26" totalsRowShown="0">
  <autoFilter ref="A1:C26" xr:uid="{00000000-0009-0000-0100-000004000000}"/>
  <tableColumns count="3">
    <tableColumn id="1" xr3:uid="{00000000-0010-0000-0100-000001000000}" name="ano"/>
    <tableColumn id="2" xr3:uid="{00000000-0010-0000-0100-000002000000}" name="Região"/>
    <tableColumn id="3" xr3:uid="{00000000-0010-0000-0100-000003000000}" name="Idade média 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ela6" displayName="Tabela6" ref="A1:J17" totalsRowShown="0">
  <autoFilter ref="A1:J17" xr:uid="{00000000-0009-0000-0100-000006000000}"/>
  <tableColumns count="10">
    <tableColumn id="1" xr3:uid="{00000000-0010-0000-0200-000001000000}" name="ano"/>
    <tableColumn id="2" xr3:uid="{00000000-0010-0000-0200-000002000000}" name="Região"/>
    <tableColumn id="3" xr3:uid="{00000000-0010-0000-0200-000003000000}" name=" 15 a 19"/>
    <tableColumn id="4" xr3:uid="{00000000-0010-0000-0200-000004000000}" name="20 a 24"/>
    <tableColumn id="5" xr3:uid="{00000000-0010-0000-0200-000005000000}" name="25 a 29"/>
    <tableColumn id="6" xr3:uid="{00000000-0010-0000-0200-000006000000}" name="30 a 34"/>
    <tableColumn id="7" xr3:uid="{00000000-0010-0000-0200-000007000000}" name="35 a 39"/>
    <tableColumn id="8" xr3:uid="{00000000-0010-0000-0200-000008000000}" name="40 a 44"/>
    <tableColumn id="9" xr3:uid="{00000000-0010-0000-0200-000009000000}" name="45 a 49"/>
    <tableColumn id="10" xr3:uid="{00000000-0010-0000-0200-00000A000000}" name="SOMA TOTAL" dataDxfId="0">
      <calculatedColumnFormula>SUBTOTAL(9,Tabela6[[#This Row],[ 15 a 19]:[45 a 49]])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"/>
  <sheetViews>
    <sheetView workbookViewId="0">
      <selection activeCell="O13" sqref="O13"/>
    </sheetView>
  </sheetViews>
  <sheetFormatPr defaultRowHeight="15" x14ac:dyDescent="0.25"/>
  <cols>
    <col min="1" max="1" width="6.42578125" customWidth="1"/>
    <col min="2" max="2" width="23" bestFit="1" customWidth="1"/>
    <col min="3" max="3" width="10.42578125" customWidth="1"/>
    <col min="4" max="10" width="20" customWidth="1"/>
    <col min="11" max="11" width="11" customWidth="1"/>
    <col min="12" max="12" width="21.85546875" customWidth="1"/>
  </cols>
  <sheetData>
    <row r="1" spans="1:12" x14ac:dyDescent="0.25">
      <c r="A1" t="s">
        <v>0</v>
      </c>
      <c r="B1" t="s">
        <v>27</v>
      </c>
      <c r="C1" t="s">
        <v>28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2000</v>
      </c>
      <c r="B2" t="s">
        <v>1</v>
      </c>
      <c r="C2" s="1">
        <v>699374</v>
      </c>
      <c r="D2">
        <v>72.53</v>
      </c>
      <c r="E2">
        <v>116.53</v>
      </c>
      <c r="F2">
        <v>107.12</v>
      </c>
      <c r="G2">
        <v>74.709999999999994</v>
      </c>
      <c r="H2">
        <v>35.6</v>
      </c>
      <c r="I2">
        <v>9.1300000000000008</v>
      </c>
      <c r="J2">
        <v>0.68</v>
      </c>
      <c r="K2">
        <v>2.08</v>
      </c>
      <c r="L2">
        <v>26.5</v>
      </c>
    </row>
    <row r="3" spans="1:12" x14ac:dyDescent="0.25">
      <c r="A3">
        <v>2000</v>
      </c>
      <c r="B3" t="s">
        <v>2</v>
      </c>
      <c r="C3" s="1">
        <v>9983</v>
      </c>
      <c r="D3">
        <v>70.64</v>
      </c>
      <c r="E3">
        <v>105.96</v>
      </c>
      <c r="F3">
        <v>89.25</v>
      </c>
      <c r="G3">
        <v>52.27</v>
      </c>
      <c r="H3">
        <v>20.92</v>
      </c>
      <c r="I3">
        <v>4.51</v>
      </c>
      <c r="J3">
        <v>0.25</v>
      </c>
      <c r="K3">
        <v>1.72</v>
      </c>
      <c r="L3">
        <v>25.5</v>
      </c>
    </row>
    <row r="4" spans="1:12" x14ac:dyDescent="0.25">
      <c r="A4">
        <v>2000</v>
      </c>
      <c r="B4" t="s">
        <v>3</v>
      </c>
      <c r="C4" s="1">
        <v>6055</v>
      </c>
      <c r="D4">
        <v>75.459999999999994</v>
      </c>
      <c r="E4">
        <v>113.65</v>
      </c>
      <c r="F4">
        <v>87.84</v>
      </c>
      <c r="G4">
        <v>52.37</v>
      </c>
      <c r="H4">
        <v>23.37</v>
      </c>
      <c r="I4">
        <v>5.47</v>
      </c>
      <c r="J4">
        <v>0.35</v>
      </c>
      <c r="K4">
        <v>1.79</v>
      </c>
      <c r="L4">
        <v>25.4</v>
      </c>
    </row>
    <row r="5" spans="1:12" x14ac:dyDescent="0.25">
      <c r="A5">
        <v>2000</v>
      </c>
      <c r="B5" t="s">
        <v>4</v>
      </c>
      <c r="C5" s="1">
        <v>16008</v>
      </c>
      <c r="D5">
        <v>79.14</v>
      </c>
      <c r="E5">
        <v>115.01</v>
      </c>
      <c r="F5">
        <v>97.43</v>
      </c>
      <c r="G5">
        <v>63.01</v>
      </c>
      <c r="H5">
        <v>26.4</v>
      </c>
      <c r="I5">
        <v>6.01</v>
      </c>
      <c r="J5">
        <v>0.56000000000000005</v>
      </c>
      <c r="K5">
        <v>1.94</v>
      </c>
      <c r="L5">
        <v>25.7</v>
      </c>
    </row>
    <row r="6" spans="1:12" x14ac:dyDescent="0.25">
      <c r="A6">
        <v>2000</v>
      </c>
      <c r="B6" t="s">
        <v>5</v>
      </c>
      <c r="C6" s="1">
        <v>91468</v>
      </c>
      <c r="D6">
        <v>69.040000000000006</v>
      </c>
      <c r="E6">
        <v>108.22</v>
      </c>
      <c r="F6">
        <v>99.81</v>
      </c>
      <c r="G6">
        <v>67.489999999999995</v>
      </c>
      <c r="H6">
        <v>30.42</v>
      </c>
      <c r="I6">
        <v>7.37</v>
      </c>
      <c r="J6">
        <v>0.47</v>
      </c>
      <c r="K6">
        <v>1.91</v>
      </c>
      <c r="L6">
        <v>26.3</v>
      </c>
    </row>
    <row r="7" spans="1:12" x14ac:dyDescent="0.25">
      <c r="A7">
        <v>2000</v>
      </c>
      <c r="B7" t="s">
        <v>6</v>
      </c>
      <c r="C7" s="1">
        <v>13170</v>
      </c>
      <c r="D7">
        <v>69.13</v>
      </c>
      <c r="E7">
        <v>104.45</v>
      </c>
      <c r="F7">
        <v>92.71</v>
      </c>
      <c r="G7">
        <v>55.87</v>
      </c>
      <c r="H7">
        <v>24.01</v>
      </c>
      <c r="I7">
        <v>6.01</v>
      </c>
      <c r="J7">
        <v>0.52</v>
      </c>
      <c r="K7">
        <v>1.76</v>
      </c>
      <c r="L7">
        <v>25.8</v>
      </c>
    </row>
    <row r="8" spans="1:12" x14ac:dyDescent="0.25">
      <c r="A8">
        <v>2000</v>
      </c>
      <c r="B8" t="s">
        <v>7</v>
      </c>
      <c r="C8" s="1">
        <v>11334</v>
      </c>
      <c r="D8">
        <v>73.760000000000005</v>
      </c>
      <c r="E8">
        <v>119.41</v>
      </c>
      <c r="F8">
        <v>105.64</v>
      </c>
      <c r="G8">
        <v>69.14</v>
      </c>
      <c r="H8">
        <v>32.299999999999997</v>
      </c>
      <c r="I8">
        <v>7.89</v>
      </c>
      <c r="J8">
        <v>0.38</v>
      </c>
      <c r="K8">
        <v>2.04</v>
      </c>
      <c r="L8">
        <v>26.2</v>
      </c>
    </row>
    <row r="9" spans="1:12" x14ac:dyDescent="0.25">
      <c r="A9">
        <v>2000</v>
      </c>
      <c r="B9" t="s">
        <v>8</v>
      </c>
      <c r="C9" s="1">
        <v>10941</v>
      </c>
      <c r="D9">
        <v>105.32</v>
      </c>
      <c r="E9">
        <v>158.5</v>
      </c>
      <c r="F9">
        <v>119.81</v>
      </c>
      <c r="G9">
        <v>81.42</v>
      </c>
      <c r="H9">
        <v>39.99</v>
      </c>
      <c r="I9">
        <v>14.97</v>
      </c>
      <c r="J9">
        <v>1.61</v>
      </c>
      <c r="K9">
        <v>2.61</v>
      </c>
      <c r="L9">
        <v>26</v>
      </c>
    </row>
    <row r="10" spans="1:12" x14ac:dyDescent="0.25">
      <c r="A10">
        <v>2000</v>
      </c>
      <c r="B10" t="s">
        <v>9</v>
      </c>
      <c r="C10" s="1">
        <v>14607</v>
      </c>
      <c r="D10">
        <v>76.95</v>
      </c>
      <c r="E10">
        <v>118.33</v>
      </c>
      <c r="F10">
        <v>97.74</v>
      </c>
      <c r="G10">
        <v>58.96</v>
      </c>
      <c r="H10">
        <v>25.3</v>
      </c>
      <c r="I10">
        <v>6.26</v>
      </c>
      <c r="J10">
        <v>0.5</v>
      </c>
      <c r="K10">
        <v>1.92</v>
      </c>
      <c r="L10">
        <v>25.7</v>
      </c>
    </row>
    <row r="11" spans="1:12" x14ac:dyDescent="0.25">
      <c r="A11">
        <v>2000</v>
      </c>
      <c r="B11" t="s">
        <v>10</v>
      </c>
      <c r="C11" s="1">
        <v>12203</v>
      </c>
      <c r="D11">
        <v>71.010000000000005</v>
      </c>
      <c r="E11">
        <v>109.81</v>
      </c>
      <c r="F11">
        <v>96.79</v>
      </c>
      <c r="G11">
        <v>58.36</v>
      </c>
      <c r="H11">
        <v>24.55</v>
      </c>
      <c r="I11">
        <v>5.4</v>
      </c>
      <c r="J11">
        <v>0.22</v>
      </c>
      <c r="K11">
        <v>1.83</v>
      </c>
      <c r="L11">
        <v>25.8</v>
      </c>
    </row>
    <row r="12" spans="1:12" x14ac:dyDescent="0.25">
      <c r="A12">
        <v>2000</v>
      </c>
      <c r="B12" t="s">
        <v>11</v>
      </c>
      <c r="C12" s="1">
        <v>5732</v>
      </c>
      <c r="D12">
        <v>101.44</v>
      </c>
      <c r="E12">
        <v>153.13</v>
      </c>
      <c r="F12">
        <v>122.66</v>
      </c>
      <c r="G12">
        <v>83.89</v>
      </c>
      <c r="H12">
        <v>41.17</v>
      </c>
      <c r="I12">
        <v>13.7</v>
      </c>
      <c r="J12">
        <v>1.31</v>
      </c>
      <c r="K12">
        <v>2.59</v>
      </c>
      <c r="L12">
        <v>26.1</v>
      </c>
    </row>
    <row r="13" spans="1:12" x14ac:dyDescent="0.25">
      <c r="A13">
        <v>2000</v>
      </c>
      <c r="B13" t="s">
        <v>12</v>
      </c>
      <c r="C13" s="1">
        <v>18190</v>
      </c>
      <c r="D13">
        <v>71.22</v>
      </c>
      <c r="E13">
        <v>106.18</v>
      </c>
      <c r="F13">
        <v>102.06</v>
      </c>
      <c r="G13">
        <v>69.13</v>
      </c>
      <c r="H13">
        <v>31.94</v>
      </c>
      <c r="I13">
        <v>7.7</v>
      </c>
      <c r="J13">
        <v>0.61</v>
      </c>
      <c r="K13">
        <v>1.94</v>
      </c>
      <c r="L13">
        <v>26.3</v>
      </c>
    </row>
    <row r="14" spans="1:12" x14ac:dyDescent="0.25">
      <c r="A14">
        <v>2000</v>
      </c>
      <c r="B14" t="s">
        <v>13</v>
      </c>
      <c r="C14" s="1">
        <v>28079</v>
      </c>
      <c r="D14">
        <v>77.81</v>
      </c>
      <c r="E14">
        <v>116.84</v>
      </c>
      <c r="F14">
        <v>109.34</v>
      </c>
      <c r="G14">
        <v>76.819999999999993</v>
      </c>
      <c r="H14">
        <v>38.4</v>
      </c>
      <c r="I14">
        <v>9.01</v>
      </c>
      <c r="J14">
        <v>0.57999999999999996</v>
      </c>
      <c r="K14">
        <v>2.14</v>
      </c>
      <c r="L14">
        <v>26.5</v>
      </c>
    </row>
    <row r="15" spans="1:12" x14ac:dyDescent="0.25">
      <c r="A15">
        <v>2000</v>
      </c>
      <c r="B15" t="s">
        <v>14</v>
      </c>
      <c r="C15" s="1">
        <v>18046</v>
      </c>
      <c r="D15">
        <v>63.1</v>
      </c>
      <c r="E15">
        <v>102.62</v>
      </c>
      <c r="F15">
        <v>84.78</v>
      </c>
      <c r="G15">
        <v>49.41</v>
      </c>
      <c r="H15">
        <v>20.11</v>
      </c>
      <c r="I15">
        <v>4.58</v>
      </c>
      <c r="J15">
        <v>0.23</v>
      </c>
      <c r="K15">
        <v>1.62</v>
      </c>
      <c r="L15">
        <v>25.6</v>
      </c>
    </row>
    <row r="16" spans="1:12" x14ac:dyDescent="0.25">
      <c r="A16">
        <v>2000</v>
      </c>
      <c r="B16" t="s">
        <v>15</v>
      </c>
      <c r="C16" s="1">
        <v>37358</v>
      </c>
      <c r="D16">
        <v>74.31</v>
      </c>
      <c r="E16">
        <v>121.6</v>
      </c>
      <c r="F16">
        <v>107.58</v>
      </c>
      <c r="G16">
        <v>71.63</v>
      </c>
      <c r="H16">
        <v>34.4</v>
      </c>
      <c r="I16">
        <v>8.9499999999999993</v>
      </c>
      <c r="J16">
        <v>0.82</v>
      </c>
      <c r="K16">
        <v>2.1</v>
      </c>
      <c r="L16">
        <v>26.3</v>
      </c>
    </row>
    <row r="17" spans="1:12" x14ac:dyDescent="0.25">
      <c r="A17">
        <v>2000</v>
      </c>
      <c r="B17" t="s">
        <v>16</v>
      </c>
      <c r="C17" s="1">
        <v>37023</v>
      </c>
      <c r="D17">
        <v>81.47</v>
      </c>
      <c r="E17">
        <v>125.32</v>
      </c>
      <c r="F17">
        <v>107.6</v>
      </c>
      <c r="G17">
        <v>71.91</v>
      </c>
      <c r="H17">
        <v>34.97</v>
      </c>
      <c r="I17">
        <v>9.75</v>
      </c>
      <c r="J17">
        <v>0.67</v>
      </c>
      <c r="K17">
        <v>2.16</v>
      </c>
      <c r="L17">
        <v>26.2</v>
      </c>
    </row>
    <row r="18" spans="1:12" x14ac:dyDescent="0.25">
      <c r="A18">
        <v>2000</v>
      </c>
      <c r="B18" t="s">
        <v>17</v>
      </c>
      <c r="C18" s="1">
        <v>367309</v>
      </c>
      <c r="D18">
        <v>70.849999999999994</v>
      </c>
      <c r="E18">
        <v>118.35</v>
      </c>
      <c r="F18">
        <v>112.81</v>
      </c>
      <c r="G18">
        <v>83.07</v>
      </c>
      <c r="H18">
        <v>41.04</v>
      </c>
      <c r="I18">
        <v>10.7</v>
      </c>
      <c r="J18">
        <v>0.79</v>
      </c>
      <c r="K18">
        <v>2.19</v>
      </c>
      <c r="L18">
        <v>26.8</v>
      </c>
    </row>
    <row r="19" spans="1:12" x14ac:dyDescent="0.25">
      <c r="A19">
        <v>2001</v>
      </c>
      <c r="B19" t="s">
        <v>1</v>
      </c>
      <c r="C19" s="1">
        <v>646005</v>
      </c>
      <c r="D19">
        <v>66.42</v>
      </c>
      <c r="E19">
        <v>105.14</v>
      </c>
      <c r="F19">
        <v>97.56</v>
      </c>
      <c r="G19">
        <v>68.94</v>
      </c>
      <c r="H19">
        <v>34.08</v>
      </c>
      <c r="I19">
        <v>8.68</v>
      </c>
      <c r="J19">
        <v>0.65</v>
      </c>
      <c r="K19">
        <v>1.91</v>
      </c>
      <c r="L19">
        <v>26.6</v>
      </c>
    </row>
    <row r="20" spans="1:12" x14ac:dyDescent="0.25">
      <c r="A20">
        <v>2001</v>
      </c>
      <c r="B20" t="s">
        <v>2</v>
      </c>
      <c r="C20" s="1">
        <v>8950</v>
      </c>
      <c r="D20">
        <v>60.95</v>
      </c>
      <c r="E20">
        <v>92.87</v>
      </c>
      <c r="F20">
        <v>81.44</v>
      </c>
      <c r="G20">
        <v>47.17</v>
      </c>
      <c r="H20">
        <v>19.47</v>
      </c>
      <c r="I20">
        <v>4.79</v>
      </c>
      <c r="J20">
        <v>0.19</v>
      </c>
      <c r="K20">
        <v>1.53</v>
      </c>
      <c r="L20">
        <v>25.7</v>
      </c>
    </row>
    <row r="21" spans="1:12" x14ac:dyDescent="0.25">
      <c r="A21">
        <v>2001</v>
      </c>
      <c r="B21" t="s">
        <v>3</v>
      </c>
      <c r="C21" s="1">
        <v>5588</v>
      </c>
      <c r="D21">
        <v>69.5</v>
      </c>
      <c r="E21">
        <v>102.96</v>
      </c>
      <c r="F21">
        <v>82.56</v>
      </c>
      <c r="G21">
        <v>48.53</v>
      </c>
      <c r="H21">
        <v>19.61</v>
      </c>
      <c r="I21">
        <v>4.5</v>
      </c>
      <c r="J21">
        <v>0.6</v>
      </c>
      <c r="K21">
        <v>1.64</v>
      </c>
      <c r="L21">
        <v>25.4</v>
      </c>
    </row>
    <row r="22" spans="1:12" x14ac:dyDescent="0.25">
      <c r="A22">
        <v>2001</v>
      </c>
      <c r="B22" t="s">
        <v>4</v>
      </c>
      <c r="C22" s="1">
        <v>14704</v>
      </c>
      <c r="D22">
        <v>70.33</v>
      </c>
      <c r="E22">
        <v>103.45</v>
      </c>
      <c r="F22">
        <v>92.1</v>
      </c>
      <c r="G22">
        <v>55.05</v>
      </c>
      <c r="H22">
        <v>26.38</v>
      </c>
      <c r="I22">
        <v>5.6</v>
      </c>
      <c r="J22">
        <v>0.41</v>
      </c>
      <c r="K22">
        <v>1.77</v>
      </c>
      <c r="L22">
        <v>25.8</v>
      </c>
    </row>
    <row r="23" spans="1:12" x14ac:dyDescent="0.25">
      <c r="A23">
        <v>2001</v>
      </c>
      <c r="B23" t="s">
        <v>5</v>
      </c>
      <c r="C23" s="1">
        <v>84866</v>
      </c>
      <c r="D23">
        <v>62.68</v>
      </c>
      <c r="E23">
        <v>97.69</v>
      </c>
      <c r="F23">
        <v>91.03</v>
      </c>
      <c r="G23">
        <v>62.46</v>
      </c>
      <c r="H23">
        <v>28.71</v>
      </c>
      <c r="I23">
        <v>7.22</v>
      </c>
      <c r="J23">
        <v>0.53</v>
      </c>
      <c r="K23">
        <v>1.75</v>
      </c>
      <c r="L23">
        <v>26.4</v>
      </c>
    </row>
    <row r="24" spans="1:12" x14ac:dyDescent="0.25">
      <c r="A24">
        <v>2001</v>
      </c>
      <c r="B24" t="s">
        <v>6</v>
      </c>
      <c r="C24" s="1">
        <v>12338</v>
      </c>
      <c r="D24">
        <v>62.6</v>
      </c>
      <c r="E24">
        <v>97.13</v>
      </c>
      <c r="F24">
        <v>84.93</v>
      </c>
      <c r="G24">
        <v>53.49</v>
      </c>
      <c r="H24">
        <v>24.36</v>
      </c>
      <c r="I24">
        <v>5.0599999999999996</v>
      </c>
      <c r="J24">
        <v>0.43</v>
      </c>
      <c r="K24">
        <v>1.64</v>
      </c>
      <c r="L24">
        <v>25.9</v>
      </c>
    </row>
    <row r="25" spans="1:12" x14ac:dyDescent="0.25">
      <c r="A25">
        <v>2001</v>
      </c>
      <c r="B25" t="s">
        <v>7</v>
      </c>
      <c r="C25" s="1">
        <v>10810</v>
      </c>
      <c r="D25">
        <v>71.69</v>
      </c>
      <c r="E25">
        <v>110.72</v>
      </c>
      <c r="F25">
        <v>98.41</v>
      </c>
      <c r="G25">
        <v>67.599999999999994</v>
      </c>
      <c r="H25">
        <v>30.52</v>
      </c>
      <c r="I25">
        <v>6.84</v>
      </c>
      <c r="J25">
        <v>0.52</v>
      </c>
      <c r="K25">
        <v>1.93</v>
      </c>
      <c r="L25">
        <v>26.2</v>
      </c>
    </row>
    <row r="26" spans="1:12" x14ac:dyDescent="0.25">
      <c r="A26">
        <v>2001</v>
      </c>
      <c r="B26" t="s">
        <v>8</v>
      </c>
      <c r="C26" s="1">
        <v>9994</v>
      </c>
      <c r="D26">
        <v>93.72</v>
      </c>
      <c r="E26">
        <v>142.65</v>
      </c>
      <c r="F26">
        <v>112.79</v>
      </c>
      <c r="G26">
        <v>73.709999999999994</v>
      </c>
      <c r="H26">
        <v>37.51</v>
      </c>
      <c r="I26">
        <v>12.74</v>
      </c>
      <c r="J26">
        <v>1.71</v>
      </c>
      <c r="K26">
        <v>2.37</v>
      </c>
      <c r="L26">
        <v>26.1</v>
      </c>
    </row>
    <row r="27" spans="1:12" x14ac:dyDescent="0.25">
      <c r="A27">
        <v>2001</v>
      </c>
      <c r="B27" t="s">
        <v>9</v>
      </c>
      <c r="C27" s="1">
        <v>13279</v>
      </c>
      <c r="D27">
        <v>67.599999999999994</v>
      </c>
      <c r="E27">
        <v>104.4</v>
      </c>
      <c r="F27">
        <v>88.08</v>
      </c>
      <c r="G27">
        <v>57.4</v>
      </c>
      <c r="H27">
        <v>25.02</v>
      </c>
      <c r="I27">
        <v>5.91</v>
      </c>
      <c r="J27">
        <v>0.45</v>
      </c>
      <c r="K27">
        <v>1.74</v>
      </c>
      <c r="L27">
        <v>25.9</v>
      </c>
    </row>
    <row r="28" spans="1:12" x14ac:dyDescent="0.25">
      <c r="A28">
        <v>2001</v>
      </c>
      <c r="B28" t="s">
        <v>10</v>
      </c>
      <c r="C28" s="1">
        <v>11574</v>
      </c>
      <c r="D28">
        <v>66.78</v>
      </c>
      <c r="E28">
        <v>104.65</v>
      </c>
      <c r="F28">
        <v>90.64</v>
      </c>
      <c r="G28">
        <v>57.19</v>
      </c>
      <c r="H28">
        <v>22.13</v>
      </c>
      <c r="I28">
        <v>5.37</v>
      </c>
      <c r="J28">
        <v>0.51</v>
      </c>
      <c r="K28">
        <v>1.74</v>
      </c>
      <c r="L28">
        <v>25.8</v>
      </c>
    </row>
    <row r="29" spans="1:12" x14ac:dyDescent="0.25">
      <c r="A29">
        <v>2001</v>
      </c>
      <c r="B29" t="s">
        <v>11</v>
      </c>
      <c r="C29" s="1">
        <v>5303</v>
      </c>
      <c r="D29">
        <v>90.9</v>
      </c>
      <c r="E29">
        <v>140.16</v>
      </c>
      <c r="F29">
        <v>116.66</v>
      </c>
      <c r="G29">
        <v>77.47</v>
      </c>
      <c r="H29">
        <v>38.81</v>
      </c>
      <c r="I29">
        <v>14.19</v>
      </c>
      <c r="J29">
        <v>1.43</v>
      </c>
      <c r="K29">
        <v>2.4</v>
      </c>
      <c r="L29">
        <v>26.3</v>
      </c>
    </row>
    <row r="30" spans="1:12" x14ac:dyDescent="0.25">
      <c r="A30">
        <v>2001</v>
      </c>
      <c r="B30" t="s">
        <v>12</v>
      </c>
      <c r="C30" s="1">
        <v>17179</v>
      </c>
      <c r="D30">
        <v>64.61</v>
      </c>
      <c r="E30">
        <v>100.23</v>
      </c>
      <c r="F30">
        <v>94.31</v>
      </c>
      <c r="G30">
        <v>64.150000000000006</v>
      </c>
      <c r="H30">
        <v>30.16</v>
      </c>
      <c r="I30">
        <v>6.49</v>
      </c>
      <c r="J30">
        <v>0.49</v>
      </c>
      <c r="K30">
        <v>1.8</v>
      </c>
      <c r="L30">
        <v>26.3</v>
      </c>
    </row>
    <row r="31" spans="1:12" x14ac:dyDescent="0.25">
      <c r="A31">
        <v>2001</v>
      </c>
      <c r="B31" t="s">
        <v>13</v>
      </c>
      <c r="C31" s="1">
        <v>26031</v>
      </c>
      <c r="D31">
        <v>71.790000000000006</v>
      </c>
      <c r="E31">
        <v>107.43</v>
      </c>
      <c r="F31">
        <v>100.35</v>
      </c>
      <c r="G31">
        <v>69.489999999999995</v>
      </c>
      <c r="H31">
        <v>36.24</v>
      </c>
      <c r="I31">
        <v>8.8800000000000008</v>
      </c>
      <c r="J31">
        <v>0.54</v>
      </c>
      <c r="K31">
        <v>1.97</v>
      </c>
      <c r="L31">
        <v>26.5</v>
      </c>
    </row>
    <row r="32" spans="1:12" x14ac:dyDescent="0.25">
      <c r="A32">
        <v>2001</v>
      </c>
      <c r="B32" t="s">
        <v>14</v>
      </c>
      <c r="C32" s="1">
        <v>16964</v>
      </c>
      <c r="D32">
        <v>58.7</v>
      </c>
      <c r="E32">
        <v>93.99</v>
      </c>
      <c r="F32">
        <v>79.209999999999994</v>
      </c>
      <c r="G32">
        <v>47.35</v>
      </c>
      <c r="H32">
        <v>20.010000000000002</v>
      </c>
      <c r="I32">
        <v>3.47</v>
      </c>
      <c r="J32">
        <v>0.32</v>
      </c>
      <c r="K32">
        <v>1.52</v>
      </c>
      <c r="L32">
        <v>25.6</v>
      </c>
    </row>
    <row r="33" spans="1:12" x14ac:dyDescent="0.25">
      <c r="A33">
        <v>2001</v>
      </c>
      <c r="B33" t="s">
        <v>15</v>
      </c>
      <c r="C33" s="1">
        <v>35014</v>
      </c>
      <c r="D33">
        <v>67.17</v>
      </c>
      <c r="E33">
        <v>112</v>
      </c>
      <c r="F33">
        <v>98.75</v>
      </c>
      <c r="G33">
        <v>68.319999999999993</v>
      </c>
      <c r="H33">
        <v>32.99</v>
      </c>
      <c r="I33">
        <v>9.3000000000000007</v>
      </c>
      <c r="J33">
        <v>0.86</v>
      </c>
      <c r="K33">
        <v>1.95</v>
      </c>
      <c r="L33">
        <v>26.5</v>
      </c>
    </row>
    <row r="34" spans="1:12" x14ac:dyDescent="0.25">
      <c r="A34">
        <v>2001</v>
      </c>
      <c r="B34" t="s">
        <v>16</v>
      </c>
      <c r="C34" s="1">
        <v>34233</v>
      </c>
      <c r="D34">
        <v>73.540000000000006</v>
      </c>
      <c r="E34">
        <v>114.05</v>
      </c>
      <c r="F34">
        <v>97.09</v>
      </c>
      <c r="G34">
        <v>65.180000000000007</v>
      </c>
      <c r="H34">
        <v>32.9</v>
      </c>
      <c r="I34">
        <v>9.8800000000000008</v>
      </c>
      <c r="J34">
        <v>0.69</v>
      </c>
      <c r="K34">
        <v>1.97</v>
      </c>
      <c r="L34">
        <v>26.3</v>
      </c>
    </row>
    <row r="35" spans="1:12" x14ac:dyDescent="0.25">
      <c r="A35">
        <v>2001</v>
      </c>
      <c r="B35" t="s">
        <v>17</v>
      </c>
      <c r="C35" s="1">
        <v>337875</v>
      </c>
      <c r="D35">
        <v>65.48</v>
      </c>
      <c r="E35">
        <v>105.73</v>
      </c>
      <c r="F35">
        <v>101.99</v>
      </c>
      <c r="G35">
        <v>76.19</v>
      </c>
      <c r="H35">
        <v>39.5</v>
      </c>
      <c r="I35">
        <v>10.119999999999999</v>
      </c>
      <c r="J35">
        <v>0.71</v>
      </c>
      <c r="K35">
        <v>2</v>
      </c>
      <c r="L35">
        <v>26.9</v>
      </c>
    </row>
    <row r="36" spans="1:12" x14ac:dyDescent="0.25">
      <c r="A36">
        <v>2002</v>
      </c>
      <c r="B36" t="s">
        <v>1</v>
      </c>
      <c r="C36" s="1">
        <v>631827</v>
      </c>
      <c r="D36">
        <v>62.85</v>
      </c>
      <c r="E36">
        <v>102.99</v>
      </c>
      <c r="F36">
        <v>92.71</v>
      </c>
      <c r="G36">
        <v>67.319999999999993</v>
      </c>
      <c r="H36">
        <v>34.72</v>
      </c>
      <c r="I36">
        <v>8.85</v>
      </c>
      <c r="J36">
        <v>0.57999999999999996</v>
      </c>
      <c r="K36">
        <v>1.85</v>
      </c>
      <c r="L36">
        <v>26.6</v>
      </c>
    </row>
    <row r="37" spans="1:12" x14ac:dyDescent="0.25">
      <c r="A37">
        <v>2002</v>
      </c>
      <c r="B37" t="s">
        <v>2</v>
      </c>
      <c r="C37" s="1">
        <v>8806</v>
      </c>
      <c r="D37">
        <v>58.2</v>
      </c>
      <c r="E37">
        <v>90.74</v>
      </c>
      <c r="F37">
        <v>78.56</v>
      </c>
      <c r="G37">
        <v>47.53</v>
      </c>
      <c r="H37">
        <v>21.55</v>
      </c>
      <c r="I37">
        <v>5.19</v>
      </c>
      <c r="J37">
        <v>0.18</v>
      </c>
      <c r="K37">
        <v>1.51</v>
      </c>
      <c r="L37">
        <v>25.8</v>
      </c>
    </row>
    <row r="38" spans="1:12" x14ac:dyDescent="0.25">
      <c r="A38">
        <v>2002</v>
      </c>
      <c r="B38" t="s">
        <v>3</v>
      </c>
      <c r="C38" s="1">
        <v>5590</v>
      </c>
      <c r="D38">
        <v>67.3</v>
      </c>
      <c r="E38">
        <v>102.17</v>
      </c>
      <c r="F38">
        <v>78.38</v>
      </c>
      <c r="G38">
        <v>52.25</v>
      </c>
      <c r="H38">
        <v>21.35</v>
      </c>
      <c r="I38">
        <v>5.08</v>
      </c>
      <c r="J38">
        <v>0.42</v>
      </c>
      <c r="K38">
        <v>1.63</v>
      </c>
      <c r="L38">
        <v>25.6</v>
      </c>
    </row>
    <row r="39" spans="1:12" x14ac:dyDescent="0.25">
      <c r="A39">
        <v>2002</v>
      </c>
      <c r="B39" t="s">
        <v>4</v>
      </c>
      <c r="C39" s="1">
        <v>14445</v>
      </c>
      <c r="D39">
        <v>65.39</v>
      </c>
      <c r="E39">
        <v>102.71</v>
      </c>
      <c r="F39">
        <v>87.74</v>
      </c>
      <c r="G39">
        <v>56.17</v>
      </c>
      <c r="H39">
        <v>26.6</v>
      </c>
      <c r="I39">
        <v>6.1</v>
      </c>
      <c r="J39">
        <v>0.53</v>
      </c>
      <c r="K39">
        <v>1.73</v>
      </c>
      <c r="L39">
        <v>26</v>
      </c>
    </row>
    <row r="40" spans="1:12" x14ac:dyDescent="0.25">
      <c r="A40">
        <v>2002</v>
      </c>
      <c r="B40" t="s">
        <v>5</v>
      </c>
      <c r="C40" s="1">
        <v>83683</v>
      </c>
      <c r="D40">
        <v>57.58</v>
      </c>
      <c r="E40">
        <v>97.33</v>
      </c>
      <c r="F40">
        <v>86.53</v>
      </c>
      <c r="G40">
        <v>61.67</v>
      </c>
      <c r="H40">
        <v>30.1</v>
      </c>
      <c r="I40">
        <v>7.02</v>
      </c>
      <c r="J40">
        <v>0.4</v>
      </c>
      <c r="K40">
        <v>1.7</v>
      </c>
      <c r="L40">
        <v>26.5</v>
      </c>
    </row>
    <row r="41" spans="1:12" x14ac:dyDescent="0.25">
      <c r="A41">
        <v>2002</v>
      </c>
      <c r="B41" t="s">
        <v>6</v>
      </c>
      <c r="C41" s="1">
        <v>12188</v>
      </c>
      <c r="D41">
        <v>61.42</v>
      </c>
      <c r="E41">
        <v>94.29</v>
      </c>
      <c r="F41">
        <v>81.11</v>
      </c>
      <c r="G41">
        <v>52.77</v>
      </c>
      <c r="H41">
        <v>25.25</v>
      </c>
      <c r="I41">
        <v>5.42</v>
      </c>
      <c r="J41">
        <v>0.41</v>
      </c>
      <c r="K41">
        <v>1.6</v>
      </c>
      <c r="L41">
        <v>26</v>
      </c>
    </row>
    <row r="42" spans="1:12" x14ac:dyDescent="0.25">
      <c r="A42">
        <v>2002</v>
      </c>
      <c r="B42" t="s">
        <v>7</v>
      </c>
      <c r="C42" s="1">
        <v>10732</v>
      </c>
      <c r="D42">
        <v>67.62</v>
      </c>
      <c r="E42">
        <v>110.05</v>
      </c>
      <c r="F42">
        <v>96.48</v>
      </c>
      <c r="G42">
        <v>64.11</v>
      </c>
      <c r="H42">
        <v>32.869999999999997</v>
      </c>
      <c r="I42">
        <v>7.94</v>
      </c>
      <c r="J42">
        <v>0.36</v>
      </c>
      <c r="K42">
        <v>1.9</v>
      </c>
      <c r="L42">
        <v>26.3</v>
      </c>
    </row>
    <row r="43" spans="1:12" x14ac:dyDescent="0.25">
      <c r="A43">
        <v>2002</v>
      </c>
      <c r="B43" t="s">
        <v>8</v>
      </c>
      <c r="C43" s="1">
        <v>9765</v>
      </c>
      <c r="D43">
        <v>93.42</v>
      </c>
      <c r="E43">
        <v>135.62</v>
      </c>
      <c r="F43">
        <v>107.59</v>
      </c>
      <c r="G43">
        <v>73.64</v>
      </c>
      <c r="H43">
        <v>38.450000000000003</v>
      </c>
      <c r="I43">
        <v>10.8</v>
      </c>
      <c r="J43">
        <v>0.98</v>
      </c>
      <c r="K43">
        <v>2.2999999999999998</v>
      </c>
      <c r="L43">
        <v>26</v>
      </c>
    </row>
    <row r="44" spans="1:12" x14ac:dyDescent="0.25">
      <c r="A44">
        <v>2002</v>
      </c>
      <c r="B44" t="s">
        <v>9</v>
      </c>
      <c r="C44" s="1">
        <v>12952</v>
      </c>
      <c r="D44">
        <v>65.010000000000005</v>
      </c>
      <c r="E44">
        <v>101.86</v>
      </c>
      <c r="F44">
        <v>85.82</v>
      </c>
      <c r="G44">
        <v>54.27</v>
      </c>
      <c r="H44">
        <v>26.14</v>
      </c>
      <c r="I44">
        <v>6.34</v>
      </c>
      <c r="J44">
        <v>0.4</v>
      </c>
      <c r="K44">
        <v>1.7</v>
      </c>
      <c r="L44">
        <v>26</v>
      </c>
    </row>
    <row r="45" spans="1:12" x14ac:dyDescent="0.25">
      <c r="A45">
        <v>2002</v>
      </c>
      <c r="B45" t="s">
        <v>10</v>
      </c>
      <c r="C45" s="1">
        <v>11041</v>
      </c>
      <c r="D45">
        <v>61.19</v>
      </c>
      <c r="E45">
        <v>100.35</v>
      </c>
      <c r="F45">
        <v>84.9</v>
      </c>
      <c r="G45">
        <v>53.82</v>
      </c>
      <c r="H45">
        <v>25.14</v>
      </c>
      <c r="I45">
        <v>5.98</v>
      </c>
      <c r="J45">
        <v>0.37</v>
      </c>
      <c r="K45">
        <v>1.66</v>
      </c>
      <c r="L45">
        <v>26</v>
      </c>
    </row>
    <row r="46" spans="1:12" x14ac:dyDescent="0.25">
      <c r="A46">
        <v>2002</v>
      </c>
      <c r="B46" t="s">
        <v>11</v>
      </c>
      <c r="C46" s="1">
        <v>5174</v>
      </c>
      <c r="D46">
        <v>91.53</v>
      </c>
      <c r="E46">
        <v>138.41999999999999</v>
      </c>
      <c r="F46">
        <v>113.63</v>
      </c>
      <c r="G46">
        <v>71.78</v>
      </c>
      <c r="H46">
        <v>40.72</v>
      </c>
      <c r="I46">
        <v>11.63</v>
      </c>
      <c r="J46">
        <v>0.61</v>
      </c>
      <c r="K46">
        <v>2.34</v>
      </c>
      <c r="L46">
        <v>26.1</v>
      </c>
    </row>
    <row r="47" spans="1:12" x14ac:dyDescent="0.25">
      <c r="A47">
        <v>2002</v>
      </c>
      <c r="B47" t="s">
        <v>12</v>
      </c>
      <c r="C47" s="1">
        <v>17053</v>
      </c>
      <c r="D47">
        <v>62.14</v>
      </c>
      <c r="E47">
        <v>100.51</v>
      </c>
      <c r="F47">
        <v>87.02</v>
      </c>
      <c r="G47">
        <v>62.58</v>
      </c>
      <c r="H47">
        <v>31.23</v>
      </c>
      <c r="I47">
        <v>7.58</v>
      </c>
      <c r="J47">
        <v>0.33</v>
      </c>
      <c r="K47">
        <v>1.76</v>
      </c>
      <c r="L47">
        <v>26.4</v>
      </c>
    </row>
    <row r="48" spans="1:12" x14ac:dyDescent="0.25">
      <c r="A48">
        <v>2002</v>
      </c>
      <c r="B48" t="s">
        <v>13</v>
      </c>
      <c r="C48" s="1">
        <v>25538</v>
      </c>
      <c r="D48">
        <v>70.14</v>
      </c>
      <c r="E48">
        <v>108.04</v>
      </c>
      <c r="F48">
        <v>93.45</v>
      </c>
      <c r="G48">
        <v>66.930000000000007</v>
      </c>
      <c r="H48">
        <v>36.5</v>
      </c>
      <c r="I48">
        <v>9.18</v>
      </c>
      <c r="J48">
        <v>0.44</v>
      </c>
      <c r="K48">
        <v>1.92</v>
      </c>
      <c r="L48">
        <v>26.5</v>
      </c>
    </row>
    <row r="49" spans="1:12" x14ac:dyDescent="0.25">
      <c r="A49">
        <v>2002</v>
      </c>
      <c r="B49" t="s">
        <v>14</v>
      </c>
      <c r="C49" s="1">
        <v>16341</v>
      </c>
      <c r="D49">
        <v>53.33</v>
      </c>
      <c r="E49">
        <v>88.67</v>
      </c>
      <c r="F49">
        <v>77.489999999999995</v>
      </c>
      <c r="G49">
        <v>45.84</v>
      </c>
      <c r="H49">
        <v>20.66</v>
      </c>
      <c r="I49">
        <v>4.25</v>
      </c>
      <c r="J49">
        <v>0.4</v>
      </c>
      <c r="K49">
        <v>1.45</v>
      </c>
      <c r="L49">
        <v>25.9</v>
      </c>
    </row>
    <row r="50" spans="1:12" x14ac:dyDescent="0.25">
      <c r="A50">
        <v>2002</v>
      </c>
      <c r="B50" t="s">
        <v>15</v>
      </c>
      <c r="C50" s="1">
        <v>34042</v>
      </c>
      <c r="D50">
        <v>64.31</v>
      </c>
      <c r="E50">
        <v>107.88</v>
      </c>
      <c r="F50">
        <v>93.85</v>
      </c>
      <c r="G50">
        <v>65.5</v>
      </c>
      <c r="H50">
        <v>33.14</v>
      </c>
      <c r="I50">
        <v>8.6300000000000008</v>
      </c>
      <c r="J50">
        <v>0.68</v>
      </c>
      <c r="K50">
        <v>1.87</v>
      </c>
      <c r="L50">
        <v>26.5</v>
      </c>
    </row>
    <row r="51" spans="1:12" x14ac:dyDescent="0.25">
      <c r="A51">
        <v>2002</v>
      </c>
      <c r="B51" t="s">
        <v>16</v>
      </c>
      <c r="C51" s="1">
        <v>33874</v>
      </c>
      <c r="D51">
        <v>71.3</v>
      </c>
      <c r="E51">
        <v>110.61</v>
      </c>
      <c r="F51">
        <v>94.48</v>
      </c>
      <c r="G51">
        <v>64.64</v>
      </c>
      <c r="H51">
        <v>32.479999999999997</v>
      </c>
      <c r="I51">
        <v>9.09</v>
      </c>
      <c r="J51">
        <v>0.51</v>
      </c>
      <c r="K51">
        <v>1.92</v>
      </c>
      <c r="L51">
        <v>26.3</v>
      </c>
    </row>
    <row r="52" spans="1:12" x14ac:dyDescent="0.25">
      <c r="A52">
        <v>2002</v>
      </c>
      <c r="B52" t="s">
        <v>17</v>
      </c>
      <c r="C52" s="1">
        <v>329382</v>
      </c>
      <c r="D52">
        <v>61.85</v>
      </c>
      <c r="E52">
        <v>103.45</v>
      </c>
      <c r="F52">
        <v>96.67</v>
      </c>
      <c r="G52">
        <v>74.3</v>
      </c>
      <c r="H52">
        <v>39.799999999999997</v>
      </c>
      <c r="I52">
        <v>10.47</v>
      </c>
      <c r="J52">
        <v>0.72</v>
      </c>
      <c r="K52">
        <v>1.94</v>
      </c>
      <c r="L52">
        <v>27</v>
      </c>
    </row>
    <row r="53" spans="1:12" x14ac:dyDescent="0.25">
      <c r="A53">
        <v>2003</v>
      </c>
      <c r="B53" t="s">
        <v>1</v>
      </c>
      <c r="C53" s="1">
        <v>622171</v>
      </c>
      <c r="D53">
        <v>59.51</v>
      </c>
      <c r="E53">
        <v>100.42</v>
      </c>
      <c r="F53">
        <v>92.01</v>
      </c>
      <c r="G53">
        <v>66.48</v>
      </c>
      <c r="H53">
        <v>34.299999999999997</v>
      </c>
      <c r="I53">
        <v>8.68</v>
      </c>
      <c r="J53">
        <v>0.59</v>
      </c>
      <c r="K53">
        <v>1.81</v>
      </c>
      <c r="L53">
        <v>26.7</v>
      </c>
    </row>
    <row r="54" spans="1:12" x14ac:dyDescent="0.25">
      <c r="A54">
        <v>2003</v>
      </c>
      <c r="B54" t="s">
        <v>2</v>
      </c>
      <c r="C54" s="1">
        <v>8540</v>
      </c>
      <c r="D54">
        <v>52.2</v>
      </c>
      <c r="E54">
        <v>86.45</v>
      </c>
      <c r="F54">
        <v>77.45</v>
      </c>
      <c r="G54">
        <v>49.85</v>
      </c>
      <c r="H54">
        <v>20.82</v>
      </c>
      <c r="I54">
        <v>5.78</v>
      </c>
      <c r="J54">
        <v>0.13</v>
      </c>
      <c r="K54">
        <v>1.46</v>
      </c>
      <c r="L54">
        <v>26.1</v>
      </c>
    </row>
    <row r="55" spans="1:12" x14ac:dyDescent="0.25">
      <c r="A55">
        <v>2003</v>
      </c>
      <c r="B55" t="s">
        <v>3</v>
      </c>
      <c r="C55" s="1">
        <v>5549</v>
      </c>
      <c r="D55">
        <v>67.010000000000005</v>
      </c>
      <c r="E55">
        <v>98.01</v>
      </c>
      <c r="F55">
        <v>81.63</v>
      </c>
      <c r="G55">
        <v>47.16</v>
      </c>
      <c r="H55">
        <v>23.6</v>
      </c>
      <c r="I55">
        <v>5.01</v>
      </c>
      <c r="J55">
        <v>0.4</v>
      </c>
      <c r="K55">
        <v>1.61</v>
      </c>
      <c r="L55">
        <v>25.6</v>
      </c>
    </row>
    <row r="56" spans="1:12" x14ac:dyDescent="0.25">
      <c r="A56">
        <v>2003</v>
      </c>
      <c r="B56" t="s">
        <v>4</v>
      </c>
      <c r="C56" s="1">
        <v>14043</v>
      </c>
      <c r="D56">
        <v>64.290000000000006</v>
      </c>
      <c r="E56">
        <v>97.3</v>
      </c>
      <c r="F56">
        <v>86.19</v>
      </c>
      <c r="G56">
        <v>53.41</v>
      </c>
      <c r="H56">
        <v>26.07</v>
      </c>
      <c r="I56">
        <v>6.5</v>
      </c>
      <c r="J56">
        <v>0.28999999999999998</v>
      </c>
      <c r="K56">
        <v>1.67</v>
      </c>
      <c r="L56">
        <v>26</v>
      </c>
    </row>
    <row r="57" spans="1:12" x14ac:dyDescent="0.25">
      <c r="A57">
        <v>2003</v>
      </c>
      <c r="B57" t="s">
        <v>5</v>
      </c>
      <c r="C57" s="1">
        <v>82808</v>
      </c>
      <c r="D57">
        <v>55.32</v>
      </c>
      <c r="E57">
        <v>93.39</v>
      </c>
      <c r="F57">
        <v>85.33</v>
      </c>
      <c r="G57">
        <v>61.64</v>
      </c>
      <c r="H57">
        <v>29.85</v>
      </c>
      <c r="I57">
        <v>7.11</v>
      </c>
      <c r="J57">
        <v>0.39</v>
      </c>
      <c r="K57">
        <v>1.67</v>
      </c>
      <c r="L57">
        <v>26.6</v>
      </c>
    </row>
    <row r="58" spans="1:12" x14ac:dyDescent="0.25">
      <c r="A58">
        <v>2003</v>
      </c>
      <c r="B58" t="s">
        <v>6</v>
      </c>
      <c r="C58" s="1">
        <v>12157</v>
      </c>
      <c r="D58">
        <v>56.78</v>
      </c>
      <c r="E58">
        <v>93.08</v>
      </c>
      <c r="F58">
        <v>81.39</v>
      </c>
      <c r="G58">
        <v>55.71</v>
      </c>
      <c r="H58">
        <v>25.91</v>
      </c>
      <c r="I58">
        <v>4.96</v>
      </c>
      <c r="J58">
        <v>0.33</v>
      </c>
      <c r="K58">
        <v>1.59</v>
      </c>
      <c r="L58">
        <v>26.2</v>
      </c>
    </row>
    <row r="59" spans="1:12" x14ac:dyDescent="0.25">
      <c r="A59">
        <v>2003</v>
      </c>
      <c r="B59" t="s">
        <v>7</v>
      </c>
      <c r="C59" s="1">
        <v>10510</v>
      </c>
      <c r="D59">
        <v>61.72</v>
      </c>
      <c r="E59">
        <v>109.25</v>
      </c>
      <c r="F59">
        <v>92.42</v>
      </c>
      <c r="G59">
        <v>64.39</v>
      </c>
      <c r="H59">
        <v>33.369999999999997</v>
      </c>
      <c r="I59">
        <v>7.36</v>
      </c>
      <c r="J59">
        <v>0.45</v>
      </c>
      <c r="K59">
        <v>1.84</v>
      </c>
      <c r="L59">
        <v>26.4</v>
      </c>
    </row>
    <row r="60" spans="1:12" x14ac:dyDescent="0.25">
      <c r="A60">
        <v>2003</v>
      </c>
      <c r="B60" t="s">
        <v>8</v>
      </c>
      <c r="C60" s="1">
        <v>9332</v>
      </c>
      <c r="D60">
        <v>88.27</v>
      </c>
      <c r="E60">
        <v>135.1</v>
      </c>
      <c r="F60">
        <v>103.89</v>
      </c>
      <c r="G60">
        <v>64.010000000000005</v>
      </c>
      <c r="H60">
        <v>35.28</v>
      </c>
      <c r="I60">
        <v>12.14</v>
      </c>
      <c r="J60">
        <v>0.66</v>
      </c>
      <c r="K60">
        <v>2.2000000000000002</v>
      </c>
      <c r="L60">
        <v>25.9</v>
      </c>
    </row>
    <row r="61" spans="1:12" x14ac:dyDescent="0.25">
      <c r="A61">
        <v>2003</v>
      </c>
      <c r="B61" t="s">
        <v>9</v>
      </c>
      <c r="C61" s="1">
        <v>12852</v>
      </c>
      <c r="D61">
        <v>60.68</v>
      </c>
      <c r="E61">
        <v>99.12</v>
      </c>
      <c r="F61">
        <v>88.07</v>
      </c>
      <c r="G61">
        <v>57.99</v>
      </c>
      <c r="H61">
        <v>25.21</v>
      </c>
      <c r="I61">
        <v>6.25</v>
      </c>
      <c r="J61">
        <v>0.18</v>
      </c>
      <c r="K61">
        <v>1.69</v>
      </c>
      <c r="L61">
        <v>26.1</v>
      </c>
    </row>
    <row r="62" spans="1:12" x14ac:dyDescent="0.25">
      <c r="A62">
        <v>2003</v>
      </c>
      <c r="B62" t="s">
        <v>10</v>
      </c>
      <c r="C62" s="1">
        <v>10683</v>
      </c>
      <c r="D62">
        <v>58.23</v>
      </c>
      <c r="E62">
        <v>95.59</v>
      </c>
      <c r="F62">
        <v>84.77</v>
      </c>
      <c r="G62">
        <v>53.35</v>
      </c>
      <c r="H62">
        <v>23.56</v>
      </c>
      <c r="I62">
        <v>5.24</v>
      </c>
      <c r="J62">
        <v>0.52</v>
      </c>
      <c r="K62">
        <v>1.61</v>
      </c>
      <c r="L62">
        <v>26</v>
      </c>
    </row>
    <row r="63" spans="1:12" x14ac:dyDescent="0.25">
      <c r="A63">
        <v>2003</v>
      </c>
      <c r="B63" t="s">
        <v>11</v>
      </c>
      <c r="C63" s="1">
        <v>4863</v>
      </c>
      <c r="D63">
        <v>84.05</v>
      </c>
      <c r="E63">
        <v>133.25</v>
      </c>
      <c r="F63">
        <v>109.72</v>
      </c>
      <c r="G63">
        <v>63.37</v>
      </c>
      <c r="H63">
        <v>35.97</v>
      </c>
      <c r="I63">
        <v>14.76</v>
      </c>
      <c r="J63">
        <v>0.3</v>
      </c>
      <c r="K63">
        <v>2.21</v>
      </c>
      <c r="L63">
        <v>26.1</v>
      </c>
    </row>
    <row r="64" spans="1:12" x14ac:dyDescent="0.25">
      <c r="A64">
        <v>2003</v>
      </c>
      <c r="B64" t="s">
        <v>12</v>
      </c>
      <c r="C64" s="1">
        <v>16749</v>
      </c>
      <c r="D64">
        <v>57.63</v>
      </c>
      <c r="E64">
        <v>95.35</v>
      </c>
      <c r="F64">
        <v>87.24</v>
      </c>
      <c r="G64">
        <v>61.21</v>
      </c>
      <c r="H64">
        <v>29.29</v>
      </c>
      <c r="I64">
        <v>8.11</v>
      </c>
      <c r="J64">
        <v>0.64</v>
      </c>
      <c r="K64">
        <v>1.7</v>
      </c>
      <c r="L64">
        <v>26.6</v>
      </c>
    </row>
    <row r="65" spans="1:12" x14ac:dyDescent="0.25">
      <c r="A65">
        <v>2003</v>
      </c>
      <c r="B65" t="s">
        <v>13</v>
      </c>
      <c r="C65" s="1">
        <v>24918</v>
      </c>
      <c r="D65">
        <v>64.95</v>
      </c>
      <c r="E65">
        <v>103.31</v>
      </c>
      <c r="F65">
        <v>93.81</v>
      </c>
      <c r="G65">
        <v>66.95</v>
      </c>
      <c r="H65">
        <v>34.520000000000003</v>
      </c>
      <c r="I65">
        <v>9.2899999999999991</v>
      </c>
      <c r="J65">
        <v>0.67</v>
      </c>
      <c r="K65">
        <v>1.87</v>
      </c>
      <c r="L65">
        <v>26.6</v>
      </c>
    </row>
    <row r="66" spans="1:12" x14ac:dyDescent="0.25">
      <c r="A66">
        <v>2003</v>
      </c>
      <c r="B66" t="s">
        <v>14</v>
      </c>
      <c r="C66" s="1">
        <v>16441</v>
      </c>
      <c r="D66">
        <v>51.96</v>
      </c>
      <c r="E66">
        <v>89.1</v>
      </c>
      <c r="F66">
        <v>77.819999999999993</v>
      </c>
      <c r="G66">
        <v>47.4</v>
      </c>
      <c r="H66">
        <v>20.18</v>
      </c>
      <c r="I66">
        <v>3.86</v>
      </c>
      <c r="J66">
        <v>0.37</v>
      </c>
      <c r="K66">
        <v>1.45</v>
      </c>
      <c r="L66">
        <v>25.9</v>
      </c>
    </row>
    <row r="67" spans="1:12" x14ac:dyDescent="0.25">
      <c r="A67">
        <v>2003</v>
      </c>
      <c r="B67" t="s">
        <v>15</v>
      </c>
      <c r="C67" s="1">
        <v>33323</v>
      </c>
      <c r="D67">
        <v>57.83</v>
      </c>
      <c r="E67">
        <v>106.59</v>
      </c>
      <c r="F67">
        <v>93.21</v>
      </c>
      <c r="G67">
        <v>64.59</v>
      </c>
      <c r="H67">
        <v>31.67</v>
      </c>
      <c r="I67">
        <v>8.32</v>
      </c>
      <c r="J67">
        <v>0.75</v>
      </c>
      <c r="K67">
        <v>1.81</v>
      </c>
      <c r="L67">
        <v>26.6</v>
      </c>
    </row>
    <row r="68" spans="1:12" x14ac:dyDescent="0.25">
      <c r="A68">
        <v>2003</v>
      </c>
      <c r="B68" t="s">
        <v>16</v>
      </c>
      <c r="C68" s="1">
        <v>32749</v>
      </c>
      <c r="D68">
        <v>65.099999999999994</v>
      </c>
      <c r="E68">
        <v>106.39</v>
      </c>
      <c r="F68">
        <v>91.95</v>
      </c>
      <c r="G68">
        <v>62.01</v>
      </c>
      <c r="H68">
        <v>31.08</v>
      </c>
      <c r="I68">
        <v>8.33</v>
      </c>
      <c r="J68">
        <v>0.67</v>
      </c>
      <c r="K68">
        <v>1.83</v>
      </c>
      <c r="L68">
        <v>26.3</v>
      </c>
    </row>
    <row r="69" spans="1:12" x14ac:dyDescent="0.25">
      <c r="A69">
        <v>2003</v>
      </c>
      <c r="B69" t="s">
        <v>17</v>
      </c>
      <c r="C69" s="1">
        <v>325727</v>
      </c>
      <c r="D69">
        <v>59.15</v>
      </c>
      <c r="E69">
        <v>101.61</v>
      </c>
      <c r="F69">
        <v>96.09</v>
      </c>
      <c r="G69">
        <v>73.11</v>
      </c>
      <c r="H69">
        <v>39.83</v>
      </c>
      <c r="I69">
        <v>10.18</v>
      </c>
      <c r="J69">
        <v>0.69</v>
      </c>
      <c r="K69">
        <v>1.9</v>
      </c>
      <c r="L69">
        <v>27.1</v>
      </c>
    </row>
    <row r="70" spans="1:12" x14ac:dyDescent="0.25">
      <c r="A70">
        <v>2004</v>
      </c>
      <c r="B70" t="s">
        <v>1</v>
      </c>
      <c r="C70" s="1">
        <v>626804</v>
      </c>
      <c r="D70">
        <v>58.89</v>
      </c>
      <c r="E70">
        <v>98.61</v>
      </c>
      <c r="F70">
        <v>92.35</v>
      </c>
      <c r="G70">
        <v>67.349999999999994</v>
      </c>
      <c r="H70">
        <v>35.340000000000003</v>
      </c>
      <c r="I70">
        <v>9.5399999999999991</v>
      </c>
      <c r="J70">
        <v>0.54</v>
      </c>
      <c r="K70">
        <v>1.81</v>
      </c>
      <c r="L70">
        <v>26.8</v>
      </c>
    </row>
    <row r="71" spans="1:12" x14ac:dyDescent="0.25">
      <c r="A71">
        <v>2004</v>
      </c>
      <c r="B71" t="s">
        <v>2</v>
      </c>
      <c r="C71" s="1">
        <v>8851</v>
      </c>
      <c r="D71">
        <v>53.67</v>
      </c>
      <c r="E71">
        <v>89.26</v>
      </c>
      <c r="F71">
        <v>78.849999999999994</v>
      </c>
      <c r="G71">
        <v>52.7</v>
      </c>
      <c r="H71">
        <v>23.07</v>
      </c>
      <c r="I71">
        <v>5.14</v>
      </c>
      <c r="J71">
        <v>0.13</v>
      </c>
      <c r="K71">
        <v>1.51</v>
      </c>
      <c r="L71">
        <v>26.1</v>
      </c>
    </row>
    <row r="72" spans="1:12" x14ac:dyDescent="0.25">
      <c r="A72">
        <v>2004</v>
      </c>
      <c r="B72" t="s">
        <v>3</v>
      </c>
      <c r="C72" s="1">
        <v>5538</v>
      </c>
      <c r="D72">
        <v>63.75</v>
      </c>
      <c r="E72">
        <v>98.93</v>
      </c>
      <c r="F72">
        <v>81.72</v>
      </c>
      <c r="G72">
        <v>50.72</v>
      </c>
      <c r="H72">
        <v>21.95</v>
      </c>
      <c r="I72">
        <v>4.87</v>
      </c>
      <c r="J72">
        <v>0.16</v>
      </c>
      <c r="K72">
        <v>1.61</v>
      </c>
      <c r="L72">
        <v>25.7</v>
      </c>
    </row>
    <row r="73" spans="1:12" x14ac:dyDescent="0.25">
      <c r="A73">
        <v>2004</v>
      </c>
      <c r="B73" t="s">
        <v>4</v>
      </c>
      <c r="C73" s="1">
        <v>14216</v>
      </c>
      <c r="D73">
        <v>60.26</v>
      </c>
      <c r="E73">
        <v>99.8</v>
      </c>
      <c r="F73">
        <v>84.98</v>
      </c>
      <c r="G73">
        <v>58.34</v>
      </c>
      <c r="H73">
        <v>25.99</v>
      </c>
      <c r="I73">
        <v>7.24</v>
      </c>
      <c r="J73">
        <v>0.35</v>
      </c>
      <c r="K73">
        <v>1.68</v>
      </c>
      <c r="L73">
        <v>26.2</v>
      </c>
    </row>
    <row r="74" spans="1:12" x14ac:dyDescent="0.25">
      <c r="A74">
        <v>2004</v>
      </c>
      <c r="B74" t="s">
        <v>5</v>
      </c>
      <c r="C74" s="1">
        <v>83771</v>
      </c>
      <c r="D74">
        <v>54.29</v>
      </c>
      <c r="E74">
        <v>91.42</v>
      </c>
      <c r="F74">
        <v>86.23</v>
      </c>
      <c r="G74">
        <v>61.53</v>
      </c>
      <c r="H74">
        <v>31.57</v>
      </c>
      <c r="I74">
        <v>7.69</v>
      </c>
      <c r="J74">
        <v>0.45</v>
      </c>
      <c r="K74">
        <v>1.67</v>
      </c>
      <c r="L74">
        <v>26.7</v>
      </c>
    </row>
    <row r="75" spans="1:12" x14ac:dyDescent="0.25">
      <c r="A75">
        <v>2004</v>
      </c>
      <c r="B75" t="s">
        <v>6</v>
      </c>
      <c r="C75" s="1">
        <v>12620</v>
      </c>
      <c r="D75">
        <v>59.4</v>
      </c>
      <c r="E75">
        <v>93</v>
      </c>
      <c r="F75">
        <v>85.75</v>
      </c>
      <c r="G75">
        <v>56.22</v>
      </c>
      <c r="H75">
        <v>26.4</v>
      </c>
      <c r="I75">
        <v>6.06</v>
      </c>
      <c r="J75">
        <v>0.21</v>
      </c>
      <c r="K75">
        <v>1.64</v>
      </c>
      <c r="L75">
        <v>26.2</v>
      </c>
    </row>
    <row r="76" spans="1:12" x14ac:dyDescent="0.25">
      <c r="A76">
        <v>2004</v>
      </c>
      <c r="B76" t="s">
        <v>7</v>
      </c>
      <c r="C76" s="1">
        <v>10642</v>
      </c>
      <c r="D76">
        <v>62.86</v>
      </c>
      <c r="E76">
        <v>103.74</v>
      </c>
      <c r="F76">
        <v>96.93</v>
      </c>
      <c r="G76">
        <v>65.709999999999994</v>
      </c>
      <c r="H76">
        <v>33.409999999999997</v>
      </c>
      <c r="I76">
        <v>7.8</v>
      </c>
      <c r="J76">
        <v>0.43</v>
      </c>
      <c r="K76">
        <v>1.85</v>
      </c>
      <c r="L76">
        <v>26.5</v>
      </c>
    </row>
    <row r="77" spans="1:12" x14ac:dyDescent="0.25">
      <c r="A77">
        <v>2004</v>
      </c>
      <c r="B77" t="s">
        <v>8</v>
      </c>
      <c r="C77" s="1">
        <v>9097</v>
      </c>
      <c r="D77">
        <v>86.11</v>
      </c>
      <c r="E77">
        <v>129.4</v>
      </c>
      <c r="F77">
        <v>102.18</v>
      </c>
      <c r="G77">
        <v>63.4</v>
      </c>
      <c r="H77">
        <v>35.31</v>
      </c>
      <c r="I77">
        <v>10.87</v>
      </c>
      <c r="J77">
        <v>0.92</v>
      </c>
      <c r="K77">
        <v>2.14</v>
      </c>
      <c r="L77">
        <v>26</v>
      </c>
    </row>
    <row r="78" spans="1:12" x14ac:dyDescent="0.25">
      <c r="A78">
        <v>2004</v>
      </c>
      <c r="B78" t="s">
        <v>9</v>
      </c>
      <c r="C78" s="1">
        <v>12599</v>
      </c>
      <c r="D78">
        <v>60.6</v>
      </c>
      <c r="E78">
        <v>94.05</v>
      </c>
      <c r="F78">
        <v>86.91</v>
      </c>
      <c r="G78">
        <v>56.42</v>
      </c>
      <c r="H78">
        <v>25.8</v>
      </c>
      <c r="I78">
        <v>7.19</v>
      </c>
      <c r="J78">
        <v>0.35</v>
      </c>
      <c r="K78">
        <v>1.66</v>
      </c>
      <c r="L78">
        <v>26.2</v>
      </c>
    </row>
    <row r="79" spans="1:12" x14ac:dyDescent="0.25">
      <c r="A79">
        <v>2004</v>
      </c>
      <c r="B79" t="s">
        <v>10</v>
      </c>
      <c r="C79" s="1">
        <v>10742</v>
      </c>
      <c r="D79">
        <v>54.14</v>
      </c>
      <c r="E79">
        <v>94.07</v>
      </c>
      <c r="F79">
        <v>86.34</v>
      </c>
      <c r="G79">
        <v>56.37</v>
      </c>
      <c r="H79">
        <v>26.68</v>
      </c>
      <c r="I79">
        <v>6.29</v>
      </c>
      <c r="J79">
        <v>0.31</v>
      </c>
      <c r="K79">
        <v>1.62</v>
      </c>
      <c r="L79">
        <v>26.4</v>
      </c>
    </row>
    <row r="80" spans="1:12" x14ac:dyDescent="0.25">
      <c r="A80">
        <v>2004</v>
      </c>
      <c r="B80" t="s">
        <v>11</v>
      </c>
      <c r="C80" s="1">
        <v>5065</v>
      </c>
      <c r="D80">
        <v>91.05</v>
      </c>
      <c r="E80">
        <v>133.63999999999999</v>
      </c>
      <c r="F80">
        <v>118.35</v>
      </c>
      <c r="G80">
        <v>67.55</v>
      </c>
      <c r="H80">
        <v>38.380000000000003</v>
      </c>
      <c r="I80">
        <v>12.05</v>
      </c>
      <c r="J80">
        <v>0.86</v>
      </c>
      <c r="K80">
        <v>2.31</v>
      </c>
      <c r="L80">
        <v>26.1</v>
      </c>
    </row>
    <row r="81" spans="1:12" x14ac:dyDescent="0.25">
      <c r="A81">
        <v>2004</v>
      </c>
      <c r="B81" t="s">
        <v>12</v>
      </c>
      <c r="C81" s="1">
        <v>17121</v>
      </c>
      <c r="D81">
        <v>58.95</v>
      </c>
      <c r="E81">
        <v>96.35</v>
      </c>
      <c r="F81">
        <v>87</v>
      </c>
      <c r="G81">
        <v>59.49</v>
      </c>
      <c r="H81">
        <v>31.42</v>
      </c>
      <c r="I81">
        <v>8.0299999999999994</v>
      </c>
      <c r="J81">
        <v>0.34</v>
      </c>
      <c r="K81">
        <v>1.71</v>
      </c>
      <c r="L81">
        <v>26.5</v>
      </c>
    </row>
    <row r="82" spans="1:12" x14ac:dyDescent="0.25">
      <c r="A82">
        <v>2004</v>
      </c>
      <c r="B82" t="s">
        <v>13</v>
      </c>
      <c r="C82" s="1">
        <v>26135</v>
      </c>
      <c r="D82">
        <v>66.680000000000007</v>
      </c>
      <c r="E82">
        <v>110.5</v>
      </c>
      <c r="F82">
        <v>95.08</v>
      </c>
      <c r="G82">
        <v>70.010000000000005</v>
      </c>
      <c r="H82">
        <v>36.409999999999997</v>
      </c>
      <c r="I82">
        <v>10.29</v>
      </c>
      <c r="J82">
        <v>0.57999999999999996</v>
      </c>
      <c r="K82">
        <v>1.95</v>
      </c>
      <c r="L82">
        <v>26.6</v>
      </c>
    </row>
    <row r="83" spans="1:12" x14ac:dyDescent="0.25">
      <c r="A83">
        <v>2004</v>
      </c>
      <c r="B83" t="s">
        <v>14</v>
      </c>
      <c r="C83" s="1">
        <v>16698</v>
      </c>
      <c r="D83">
        <v>51.33</v>
      </c>
      <c r="E83">
        <v>86.65</v>
      </c>
      <c r="F83">
        <v>80.8</v>
      </c>
      <c r="G83">
        <v>47.44</v>
      </c>
      <c r="H83">
        <v>22.65</v>
      </c>
      <c r="I83">
        <v>5.12</v>
      </c>
      <c r="J83">
        <v>7.0000000000000007E-2</v>
      </c>
      <c r="K83">
        <v>1.47</v>
      </c>
      <c r="L83">
        <v>26.1</v>
      </c>
    </row>
    <row r="84" spans="1:12" x14ac:dyDescent="0.25">
      <c r="A84">
        <v>2004</v>
      </c>
      <c r="B84" t="s">
        <v>15</v>
      </c>
      <c r="C84" s="1">
        <v>33460</v>
      </c>
      <c r="D84">
        <v>57.33</v>
      </c>
      <c r="E84">
        <v>101.69</v>
      </c>
      <c r="F84">
        <v>95.25</v>
      </c>
      <c r="G84">
        <v>64.930000000000007</v>
      </c>
      <c r="H84">
        <v>32.32</v>
      </c>
      <c r="I84">
        <v>9.5299999999999994</v>
      </c>
      <c r="J84">
        <v>0.52</v>
      </c>
      <c r="K84">
        <v>1.81</v>
      </c>
      <c r="L84">
        <v>26.7</v>
      </c>
    </row>
    <row r="85" spans="1:12" x14ac:dyDescent="0.25">
      <c r="A85">
        <v>2004</v>
      </c>
      <c r="B85" t="s">
        <v>16</v>
      </c>
      <c r="C85" s="1">
        <v>33215</v>
      </c>
      <c r="D85">
        <v>63.08</v>
      </c>
      <c r="E85">
        <v>105.46</v>
      </c>
      <c r="F85">
        <v>95.05</v>
      </c>
      <c r="G85">
        <v>62.37</v>
      </c>
      <c r="H85">
        <v>31.24</v>
      </c>
      <c r="I85">
        <v>8.7100000000000009</v>
      </c>
      <c r="J85">
        <v>0.59</v>
      </c>
      <c r="K85">
        <v>1.83</v>
      </c>
      <c r="L85">
        <v>26.4</v>
      </c>
    </row>
    <row r="86" spans="1:12" x14ac:dyDescent="0.25">
      <c r="A86">
        <v>2004</v>
      </c>
      <c r="B86" t="s">
        <v>17</v>
      </c>
      <c r="C86" s="1">
        <v>326496</v>
      </c>
      <c r="D86">
        <v>58.51</v>
      </c>
      <c r="E86">
        <v>99.17</v>
      </c>
      <c r="F86">
        <v>95.37</v>
      </c>
      <c r="G86">
        <v>74.12</v>
      </c>
      <c r="H86">
        <v>40.61</v>
      </c>
      <c r="I86">
        <v>11.31</v>
      </c>
      <c r="J86">
        <v>0.66</v>
      </c>
      <c r="K86">
        <v>1.9</v>
      </c>
      <c r="L86">
        <v>27.2</v>
      </c>
    </row>
    <row r="87" spans="1:12" x14ac:dyDescent="0.25">
      <c r="A87">
        <v>2005</v>
      </c>
      <c r="B87" t="s">
        <v>1</v>
      </c>
      <c r="C87" s="1">
        <v>619107</v>
      </c>
      <c r="D87">
        <v>58.53</v>
      </c>
      <c r="E87">
        <v>95.18</v>
      </c>
      <c r="F87">
        <v>90.21</v>
      </c>
      <c r="G87">
        <v>66.959999999999994</v>
      </c>
      <c r="H87">
        <v>35.07</v>
      </c>
      <c r="I87">
        <v>9.48</v>
      </c>
      <c r="J87">
        <v>0.53</v>
      </c>
      <c r="K87">
        <v>1.78</v>
      </c>
      <c r="L87">
        <v>26.9</v>
      </c>
    </row>
    <row r="88" spans="1:12" x14ac:dyDescent="0.25">
      <c r="A88">
        <v>2005</v>
      </c>
      <c r="B88" t="s">
        <v>2</v>
      </c>
      <c r="C88" s="1">
        <v>8801</v>
      </c>
      <c r="D88">
        <v>53.6</v>
      </c>
      <c r="E88">
        <v>86.06</v>
      </c>
      <c r="F88">
        <v>78.849999999999994</v>
      </c>
      <c r="G88">
        <v>52.93</v>
      </c>
      <c r="H88">
        <v>23.31</v>
      </c>
      <c r="I88">
        <v>5.79</v>
      </c>
      <c r="J88">
        <v>0.25</v>
      </c>
      <c r="K88">
        <v>1.5</v>
      </c>
      <c r="L88">
        <v>26.2</v>
      </c>
    </row>
    <row r="89" spans="1:12" x14ac:dyDescent="0.25">
      <c r="A89">
        <v>2005</v>
      </c>
      <c r="B89" t="s">
        <v>3</v>
      </c>
      <c r="C89" s="1">
        <v>5701</v>
      </c>
      <c r="D89">
        <v>66.760000000000005</v>
      </c>
      <c r="E89">
        <v>100.77</v>
      </c>
      <c r="F89">
        <v>80.73</v>
      </c>
      <c r="G89">
        <v>52.09</v>
      </c>
      <c r="H89">
        <v>24.47</v>
      </c>
      <c r="I89">
        <v>5.37</v>
      </c>
      <c r="J89">
        <v>0.39</v>
      </c>
      <c r="K89">
        <v>1.65</v>
      </c>
      <c r="L89">
        <v>25.8</v>
      </c>
    </row>
    <row r="90" spans="1:12" x14ac:dyDescent="0.25">
      <c r="A90">
        <v>2005</v>
      </c>
      <c r="B90" t="s">
        <v>4</v>
      </c>
      <c r="C90" s="1">
        <v>14172</v>
      </c>
      <c r="D90">
        <v>61.86</v>
      </c>
      <c r="E90">
        <v>94.23</v>
      </c>
      <c r="F90">
        <v>86.32</v>
      </c>
      <c r="G90">
        <v>57.93</v>
      </c>
      <c r="H90">
        <v>27.42</v>
      </c>
      <c r="I90">
        <v>5.61</v>
      </c>
      <c r="J90">
        <v>0.21</v>
      </c>
      <c r="K90">
        <v>1.67</v>
      </c>
      <c r="L90">
        <v>26.2</v>
      </c>
    </row>
    <row r="91" spans="1:12" x14ac:dyDescent="0.25">
      <c r="A91">
        <v>2005</v>
      </c>
      <c r="B91" t="s">
        <v>5</v>
      </c>
      <c r="C91" s="1">
        <v>83656</v>
      </c>
      <c r="D91">
        <v>53.12</v>
      </c>
      <c r="E91">
        <v>88.1</v>
      </c>
      <c r="F91">
        <v>85.89</v>
      </c>
      <c r="G91">
        <v>62.33</v>
      </c>
      <c r="H91">
        <v>30.68</v>
      </c>
      <c r="I91">
        <v>8.09</v>
      </c>
      <c r="J91">
        <v>0.4</v>
      </c>
      <c r="K91">
        <v>1.64</v>
      </c>
      <c r="L91">
        <v>26.8</v>
      </c>
    </row>
    <row r="92" spans="1:12" x14ac:dyDescent="0.25">
      <c r="A92">
        <v>2005</v>
      </c>
      <c r="B92" t="s">
        <v>6</v>
      </c>
      <c r="C92" s="1">
        <v>12466</v>
      </c>
      <c r="D92">
        <v>57.06</v>
      </c>
      <c r="E92">
        <v>88.87</v>
      </c>
      <c r="F92">
        <v>83.66</v>
      </c>
      <c r="G92">
        <v>58.05</v>
      </c>
      <c r="H92">
        <v>26.26</v>
      </c>
      <c r="I92">
        <v>6.46</v>
      </c>
      <c r="J92">
        <v>0.31</v>
      </c>
      <c r="K92">
        <v>1.6</v>
      </c>
      <c r="L92">
        <v>26.4</v>
      </c>
    </row>
    <row r="93" spans="1:12" x14ac:dyDescent="0.25">
      <c r="A93">
        <v>2005</v>
      </c>
      <c r="B93" t="s">
        <v>7</v>
      </c>
      <c r="C93" s="1">
        <v>10696</v>
      </c>
      <c r="D93">
        <v>64.61</v>
      </c>
      <c r="E93">
        <v>104.37</v>
      </c>
      <c r="F93">
        <v>95.03</v>
      </c>
      <c r="G93">
        <v>64.239999999999995</v>
      </c>
      <c r="H93">
        <v>32.26</v>
      </c>
      <c r="I93">
        <v>8.77</v>
      </c>
      <c r="J93">
        <v>0.56000000000000005</v>
      </c>
      <c r="K93">
        <v>1.85</v>
      </c>
      <c r="L93">
        <v>26.5</v>
      </c>
    </row>
    <row r="94" spans="1:12" x14ac:dyDescent="0.25">
      <c r="A94">
        <v>2005</v>
      </c>
      <c r="B94" t="s">
        <v>8</v>
      </c>
      <c r="C94" s="1">
        <v>9387</v>
      </c>
      <c r="D94">
        <v>90.82</v>
      </c>
      <c r="E94">
        <v>135.81</v>
      </c>
      <c r="F94">
        <v>102.9</v>
      </c>
      <c r="G94">
        <v>64.430000000000007</v>
      </c>
      <c r="H94">
        <v>35.04</v>
      </c>
      <c r="I94">
        <v>12.11</v>
      </c>
      <c r="J94">
        <v>0.69</v>
      </c>
      <c r="K94">
        <v>2.21</v>
      </c>
      <c r="L94">
        <v>25.9</v>
      </c>
    </row>
    <row r="95" spans="1:12" x14ac:dyDescent="0.25">
      <c r="A95">
        <v>2005</v>
      </c>
      <c r="B95" t="s">
        <v>9</v>
      </c>
      <c r="C95" s="1">
        <v>12942</v>
      </c>
      <c r="D95">
        <v>63.46</v>
      </c>
      <c r="E95">
        <v>93.32</v>
      </c>
      <c r="F95">
        <v>91.25</v>
      </c>
      <c r="G95">
        <v>58.59</v>
      </c>
      <c r="H95">
        <v>26.96</v>
      </c>
      <c r="I95">
        <v>5.86</v>
      </c>
      <c r="J95">
        <v>0.34</v>
      </c>
      <c r="K95">
        <v>1.7</v>
      </c>
      <c r="L95">
        <v>26.2</v>
      </c>
    </row>
    <row r="96" spans="1:12" x14ac:dyDescent="0.25">
      <c r="A96">
        <v>2005</v>
      </c>
      <c r="B96" t="s">
        <v>10</v>
      </c>
      <c r="C96" s="1">
        <v>10835</v>
      </c>
      <c r="D96">
        <v>57.98</v>
      </c>
      <c r="E96">
        <v>91.37</v>
      </c>
      <c r="F96">
        <v>87.52</v>
      </c>
      <c r="G96">
        <v>56.22</v>
      </c>
      <c r="H96">
        <v>27.53</v>
      </c>
      <c r="I96">
        <v>7.03</v>
      </c>
      <c r="J96">
        <v>0.26</v>
      </c>
      <c r="K96">
        <v>1.64</v>
      </c>
      <c r="L96">
        <v>26.4</v>
      </c>
    </row>
    <row r="97" spans="1:12" x14ac:dyDescent="0.25">
      <c r="A97">
        <v>2005</v>
      </c>
      <c r="B97" t="s">
        <v>11</v>
      </c>
      <c r="C97" s="1">
        <v>4888</v>
      </c>
      <c r="D97">
        <v>84.45</v>
      </c>
      <c r="E97">
        <v>131.12</v>
      </c>
      <c r="F97">
        <v>111.26</v>
      </c>
      <c r="G97">
        <v>69.64</v>
      </c>
      <c r="H97">
        <v>39.770000000000003</v>
      </c>
      <c r="I97">
        <v>10.95</v>
      </c>
      <c r="J97">
        <v>0.7</v>
      </c>
      <c r="K97">
        <v>2.2400000000000002</v>
      </c>
      <c r="L97">
        <v>26.2</v>
      </c>
    </row>
    <row r="98" spans="1:12" x14ac:dyDescent="0.25">
      <c r="A98">
        <v>2005</v>
      </c>
      <c r="B98" t="s">
        <v>12</v>
      </c>
      <c r="C98" s="1">
        <v>16993</v>
      </c>
      <c r="D98">
        <v>57.61</v>
      </c>
      <c r="E98">
        <v>91.61</v>
      </c>
      <c r="F98">
        <v>83.73</v>
      </c>
      <c r="G98">
        <v>63.79</v>
      </c>
      <c r="H98">
        <v>29.32</v>
      </c>
      <c r="I98">
        <v>7.44</v>
      </c>
      <c r="J98">
        <v>0.24</v>
      </c>
      <c r="K98">
        <v>1.67</v>
      </c>
      <c r="L98">
        <v>26.6</v>
      </c>
    </row>
    <row r="99" spans="1:12" x14ac:dyDescent="0.25">
      <c r="A99">
        <v>2005</v>
      </c>
      <c r="B99" t="s">
        <v>13</v>
      </c>
      <c r="C99" s="1">
        <v>25589</v>
      </c>
      <c r="D99">
        <v>63.25</v>
      </c>
      <c r="E99">
        <v>101.87</v>
      </c>
      <c r="F99">
        <v>96.43</v>
      </c>
      <c r="G99">
        <v>69.48</v>
      </c>
      <c r="H99">
        <v>38</v>
      </c>
      <c r="I99">
        <v>10.51</v>
      </c>
      <c r="J99">
        <v>0.66</v>
      </c>
      <c r="K99">
        <v>1.9</v>
      </c>
      <c r="L99">
        <v>26.9</v>
      </c>
    </row>
    <row r="100" spans="1:12" x14ac:dyDescent="0.25">
      <c r="A100">
        <v>2005</v>
      </c>
      <c r="B100" t="s">
        <v>14</v>
      </c>
      <c r="C100" s="1">
        <v>16603</v>
      </c>
      <c r="D100">
        <v>52.63</v>
      </c>
      <c r="E100">
        <v>82.37</v>
      </c>
      <c r="F100">
        <v>80.5</v>
      </c>
      <c r="G100">
        <v>47.72</v>
      </c>
      <c r="H100">
        <v>22.79</v>
      </c>
      <c r="I100">
        <v>4.43</v>
      </c>
      <c r="J100">
        <v>0.15</v>
      </c>
      <c r="K100">
        <v>1.45</v>
      </c>
      <c r="L100">
        <v>26.1</v>
      </c>
    </row>
    <row r="101" spans="1:12" x14ac:dyDescent="0.25">
      <c r="A101">
        <v>2005</v>
      </c>
      <c r="B101" t="s">
        <v>15</v>
      </c>
      <c r="C101" s="1">
        <v>33246</v>
      </c>
      <c r="D101">
        <v>57.56</v>
      </c>
      <c r="E101">
        <v>100.78</v>
      </c>
      <c r="F101">
        <v>91.7</v>
      </c>
      <c r="G101">
        <v>64.39</v>
      </c>
      <c r="H101">
        <v>31.7</v>
      </c>
      <c r="I101">
        <v>9.1999999999999993</v>
      </c>
      <c r="J101">
        <v>0.69</v>
      </c>
      <c r="K101">
        <v>1.78</v>
      </c>
      <c r="L101">
        <v>26.7</v>
      </c>
    </row>
    <row r="102" spans="1:12" x14ac:dyDescent="0.25">
      <c r="A102">
        <v>2005</v>
      </c>
      <c r="B102" t="s">
        <v>16</v>
      </c>
      <c r="C102" s="1">
        <v>32984</v>
      </c>
      <c r="D102">
        <v>62.32</v>
      </c>
      <c r="E102">
        <v>101.84</v>
      </c>
      <c r="F102">
        <v>92.32</v>
      </c>
      <c r="G102">
        <v>62.72</v>
      </c>
      <c r="H102">
        <v>31.41</v>
      </c>
      <c r="I102">
        <v>8.49</v>
      </c>
      <c r="J102">
        <v>0.46</v>
      </c>
      <c r="K102">
        <v>1.8</v>
      </c>
      <c r="L102">
        <v>26.5</v>
      </c>
    </row>
    <row r="103" spans="1:12" x14ac:dyDescent="0.25">
      <c r="A103">
        <v>2005</v>
      </c>
      <c r="B103" t="s">
        <v>17</v>
      </c>
      <c r="C103" s="1">
        <v>319953</v>
      </c>
      <c r="D103">
        <v>58.05</v>
      </c>
      <c r="E103">
        <v>95.52</v>
      </c>
      <c r="F103">
        <v>91.97</v>
      </c>
      <c r="G103">
        <v>72.709999999999994</v>
      </c>
      <c r="H103">
        <v>40.19</v>
      </c>
      <c r="I103">
        <v>11.21</v>
      </c>
      <c r="J103">
        <v>0.65</v>
      </c>
      <c r="K103">
        <v>1.85</v>
      </c>
      <c r="L103">
        <v>27.2</v>
      </c>
    </row>
    <row r="104" spans="1:12" x14ac:dyDescent="0.25">
      <c r="A104">
        <v>2006</v>
      </c>
      <c r="B104" t="s">
        <v>1</v>
      </c>
      <c r="C104" s="1">
        <v>604026</v>
      </c>
      <c r="D104">
        <v>56.59</v>
      </c>
      <c r="E104">
        <v>90.57</v>
      </c>
      <c r="F104">
        <v>86.93</v>
      </c>
      <c r="G104">
        <v>65.510000000000005</v>
      </c>
      <c r="H104">
        <v>35.28</v>
      </c>
      <c r="I104">
        <v>9.67</v>
      </c>
      <c r="J104">
        <v>0.56999999999999995</v>
      </c>
      <c r="K104">
        <v>1.73</v>
      </c>
      <c r="L104">
        <v>27</v>
      </c>
    </row>
    <row r="105" spans="1:12" x14ac:dyDescent="0.25">
      <c r="A105">
        <v>2006</v>
      </c>
      <c r="B105" t="s">
        <v>2</v>
      </c>
      <c r="C105" s="1">
        <v>8637</v>
      </c>
      <c r="D105">
        <v>54.25</v>
      </c>
      <c r="E105">
        <v>81.180000000000007</v>
      </c>
      <c r="F105">
        <v>77.75</v>
      </c>
      <c r="G105">
        <v>52.22</v>
      </c>
      <c r="H105">
        <v>23.47</v>
      </c>
      <c r="I105">
        <v>6.2</v>
      </c>
      <c r="J105">
        <v>0.16</v>
      </c>
      <c r="K105">
        <v>1.48</v>
      </c>
      <c r="L105">
        <v>26.3</v>
      </c>
    </row>
    <row r="106" spans="1:12" x14ac:dyDescent="0.25">
      <c r="A106">
        <v>2006</v>
      </c>
      <c r="B106" t="s">
        <v>3</v>
      </c>
      <c r="C106" s="1">
        <v>5418</v>
      </c>
      <c r="D106">
        <v>60.84</v>
      </c>
      <c r="E106">
        <v>93.43</v>
      </c>
      <c r="F106">
        <v>79.23</v>
      </c>
      <c r="G106">
        <v>49.42</v>
      </c>
      <c r="H106">
        <v>23.43</v>
      </c>
      <c r="I106">
        <v>5.57</v>
      </c>
      <c r="J106">
        <v>0.15</v>
      </c>
      <c r="K106">
        <v>1.56</v>
      </c>
      <c r="L106">
        <v>25.9</v>
      </c>
    </row>
    <row r="107" spans="1:12" x14ac:dyDescent="0.25">
      <c r="A107">
        <v>2006</v>
      </c>
      <c r="B107" t="s">
        <v>4</v>
      </c>
      <c r="C107" s="1">
        <v>13966</v>
      </c>
      <c r="D107">
        <v>59.15</v>
      </c>
      <c r="E107">
        <v>91.77</v>
      </c>
      <c r="F107">
        <v>85</v>
      </c>
      <c r="G107">
        <v>57.34</v>
      </c>
      <c r="H107">
        <v>26.16</v>
      </c>
      <c r="I107">
        <v>7.73</v>
      </c>
      <c r="J107">
        <v>0.33</v>
      </c>
      <c r="K107">
        <v>1.64</v>
      </c>
      <c r="L107">
        <v>26.3</v>
      </c>
    </row>
    <row r="108" spans="1:12" x14ac:dyDescent="0.25">
      <c r="A108">
        <v>2006</v>
      </c>
      <c r="B108" t="s">
        <v>5</v>
      </c>
      <c r="C108" s="1">
        <v>82683</v>
      </c>
      <c r="D108">
        <v>52.1</v>
      </c>
      <c r="E108">
        <v>84.64</v>
      </c>
      <c r="F108">
        <v>82.72</v>
      </c>
      <c r="G108">
        <v>61.29</v>
      </c>
      <c r="H108">
        <v>31.81</v>
      </c>
      <c r="I108">
        <v>8.17</v>
      </c>
      <c r="J108">
        <v>0.45</v>
      </c>
      <c r="K108">
        <v>1.61</v>
      </c>
      <c r="L108">
        <v>26.9</v>
      </c>
    </row>
    <row r="109" spans="1:12" x14ac:dyDescent="0.25">
      <c r="A109">
        <v>2006</v>
      </c>
      <c r="B109" t="s">
        <v>6</v>
      </c>
      <c r="C109" s="1">
        <v>12367</v>
      </c>
      <c r="D109">
        <v>57.64</v>
      </c>
      <c r="E109">
        <v>85.57</v>
      </c>
      <c r="F109">
        <v>80.95</v>
      </c>
      <c r="G109">
        <v>56.97</v>
      </c>
      <c r="H109">
        <v>27.33</v>
      </c>
      <c r="I109">
        <v>6.88</v>
      </c>
      <c r="J109">
        <v>0.33</v>
      </c>
      <c r="K109">
        <v>1.58</v>
      </c>
      <c r="L109">
        <v>26.4</v>
      </c>
    </row>
    <row r="110" spans="1:12" x14ac:dyDescent="0.25">
      <c r="A110">
        <v>2006</v>
      </c>
      <c r="B110" t="s">
        <v>7</v>
      </c>
      <c r="C110" s="1">
        <v>10351</v>
      </c>
      <c r="D110">
        <v>61.4</v>
      </c>
      <c r="E110">
        <v>96.84</v>
      </c>
      <c r="F110">
        <v>91.38</v>
      </c>
      <c r="G110">
        <v>63.93</v>
      </c>
      <c r="H110">
        <v>31.52</v>
      </c>
      <c r="I110">
        <v>9.6</v>
      </c>
      <c r="J110">
        <v>0.46</v>
      </c>
      <c r="K110">
        <v>1.78</v>
      </c>
      <c r="L110">
        <v>26.6</v>
      </c>
    </row>
    <row r="111" spans="1:12" x14ac:dyDescent="0.25">
      <c r="A111">
        <v>2006</v>
      </c>
      <c r="B111" t="s">
        <v>8</v>
      </c>
      <c r="C111" s="1">
        <v>8621</v>
      </c>
      <c r="D111">
        <v>82.28</v>
      </c>
      <c r="E111">
        <v>122.03</v>
      </c>
      <c r="F111">
        <v>94.79</v>
      </c>
      <c r="G111">
        <v>60.42</v>
      </c>
      <c r="H111">
        <v>32.78</v>
      </c>
      <c r="I111">
        <v>11.74</v>
      </c>
      <c r="J111">
        <v>1</v>
      </c>
      <c r="K111">
        <v>2.0299999999999998</v>
      </c>
      <c r="L111">
        <v>26</v>
      </c>
    </row>
    <row r="112" spans="1:12" x14ac:dyDescent="0.25">
      <c r="A112">
        <v>2006</v>
      </c>
      <c r="B112" t="s">
        <v>9</v>
      </c>
      <c r="C112" s="1">
        <v>12279</v>
      </c>
      <c r="D112">
        <v>56.81</v>
      </c>
      <c r="E112">
        <v>88.24</v>
      </c>
      <c r="F112">
        <v>84.13</v>
      </c>
      <c r="G112">
        <v>57.84</v>
      </c>
      <c r="H112">
        <v>27.69</v>
      </c>
      <c r="I112">
        <v>7.63</v>
      </c>
      <c r="J112">
        <v>0.39</v>
      </c>
      <c r="K112">
        <v>1.61</v>
      </c>
      <c r="L112">
        <v>26.5</v>
      </c>
    </row>
    <row r="113" spans="1:12" x14ac:dyDescent="0.25">
      <c r="A113">
        <v>2006</v>
      </c>
      <c r="B113" t="s">
        <v>10</v>
      </c>
      <c r="C113" s="1">
        <v>10511</v>
      </c>
      <c r="D113">
        <v>54.77</v>
      </c>
      <c r="E113">
        <v>89.78</v>
      </c>
      <c r="F113">
        <v>84.93</v>
      </c>
      <c r="G113">
        <v>54.32</v>
      </c>
      <c r="H113">
        <v>27.7</v>
      </c>
      <c r="I113">
        <v>6.86</v>
      </c>
      <c r="J113">
        <v>0.33</v>
      </c>
      <c r="K113">
        <v>1.59</v>
      </c>
      <c r="L113">
        <v>26.4</v>
      </c>
    </row>
    <row r="114" spans="1:12" x14ac:dyDescent="0.25">
      <c r="A114">
        <v>2006</v>
      </c>
      <c r="B114" t="s">
        <v>11</v>
      </c>
      <c r="C114" s="1">
        <v>4584</v>
      </c>
      <c r="D114">
        <v>74.91</v>
      </c>
      <c r="E114">
        <v>123.97</v>
      </c>
      <c r="F114">
        <v>102.02</v>
      </c>
      <c r="G114">
        <v>67.84</v>
      </c>
      <c r="H114">
        <v>40</v>
      </c>
      <c r="I114">
        <v>14.17</v>
      </c>
      <c r="J114">
        <v>0.95</v>
      </c>
      <c r="K114">
        <v>2.12</v>
      </c>
      <c r="L114">
        <v>26.6</v>
      </c>
    </row>
    <row r="115" spans="1:12" x14ac:dyDescent="0.25">
      <c r="A115">
        <v>2006</v>
      </c>
      <c r="B115" t="s">
        <v>12</v>
      </c>
      <c r="C115" s="1">
        <v>16518</v>
      </c>
      <c r="D115">
        <v>54.18</v>
      </c>
      <c r="E115">
        <v>84.96</v>
      </c>
      <c r="F115">
        <v>82.01</v>
      </c>
      <c r="G115">
        <v>59.86</v>
      </c>
      <c r="H115">
        <v>30.19</v>
      </c>
      <c r="I115">
        <v>7.48</v>
      </c>
      <c r="J115">
        <v>0.55000000000000004</v>
      </c>
      <c r="K115">
        <v>1.6</v>
      </c>
      <c r="L115">
        <v>26.7</v>
      </c>
    </row>
    <row r="116" spans="1:12" x14ac:dyDescent="0.25">
      <c r="A116">
        <v>2006</v>
      </c>
      <c r="B116" t="s">
        <v>13</v>
      </c>
      <c r="C116" s="1">
        <v>24860</v>
      </c>
      <c r="D116">
        <v>63.69</v>
      </c>
      <c r="E116">
        <v>98.37</v>
      </c>
      <c r="F116">
        <v>92.24</v>
      </c>
      <c r="G116">
        <v>66.12</v>
      </c>
      <c r="H116">
        <v>35.92</v>
      </c>
      <c r="I116">
        <v>10.199999999999999</v>
      </c>
      <c r="J116">
        <v>0.56999999999999995</v>
      </c>
      <c r="K116">
        <v>1.84</v>
      </c>
      <c r="L116">
        <v>26.8</v>
      </c>
    </row>
    <row r="117" spans="1:12" x14ac:dyDescent="0.25">
      <c r="A117">
        <v>2006</v>
      </c>
      <c r="B117" t="s">
        <v>14</v>
      </c>
      <c r="C117" s="1">
        <v>16238</v>
      </c>
      <c r="D117">
        <v>50.27</v>
      </c>
      <c r="E117">
        <v>76.98</v>
      </c>
      <c r="F117">
        <v>77.53</v>
      </c>
      <c r="G117">
        <v>50.89</v>
      </c>
      <c r="H117">
        <v>21.91</v>
      </c>
      <c r="I117">
        <v>5.08</v>
      </c>
      <c r="J117">
        <v>0.19</v>
      </c>
      <c r="K117">
        <v>1.41</v>
      </c>
      <c r="L117">
        <v>26.3</v>
      </c>
    </row>
    <row r="118" spans="1:12" x14ac:dyDescent="0.25">
      <c r="A118">
        <v>2006</v>
      </c>
      <c r="B118" t="s">
        <v>15</v>
      </c>
      <c r="C118" s="1">
        <v>32649</v>
      </c>
      <c r="D118">
        <v>56.89</v>
      </c>
      <c r="E118">
        <v>95.2</v>
      </c>
      <c r="F118">
        <v>91</v>
      </c>
      <c r="G118">
        <v>62.35</v>
      </c>
      <c r="H118">
        <v>31.39</v>
      </c>
      <c r="I118">
        <v>8.89</v>
      </c>
      <c r="J118">
        <v>0.48</v>
      </c>
      <c r="K118">
        <v>1.73</v>
      </c>
      <c r="L118">
        <v>26.7</v>
      </c>
    </row>
    <row r="119" spans="1:12" x14ac:dyDescent="0.25">
      <c r="A119">
        <v>2006</v>
      </c>
      <c r="B119" t="s">
        <v>16</v>
      </c>
      <c r="C119" s="1">
        <v>32365</v>
      </c>
      <c r="D119">
        <v>62.2</v>
      </c>
      <c r="E119">
        <v>97.15</v>
      </c>
      <c r="F119">
        <v>87.49</v>
      </c>
      <c r="G119">
        <v>60.19</v>
      </c>
      <c r="H119">
        <v>31.73</v>
      </c>
      <c r="I119">
        <v>9.27</v>
      </c>
      <c r="J119">
        <v>0.55000000000000004</v>
      </c>
      <c r="K119">
        <v>1.74</v>
      </c>
      <c r="L119">
        <v>26.5</v>
      </c>
    </row>
    <row r="120" spans="1:12" x14ac:dyDescent="0.25">
      <c r="A120">
        <v>2006</v>
      </c>
      <c r="B120" t="s">
        <v>17</v>
      </c>
      <c r="C120" s="1">
        <v>311719</v>
      </c>
      <c r="D120">
        <v>55.92</v>
      </c>
      <c r="E120">
        <v>90.95</v>
      </c>
      <c r="F120">
        <v>88.61</v>
      </c>
      <c r="G120">
        <v>71.23</v>
      </c>
      <c r="H120">
        <v>40.5</v>
      </c>
      <c r="I120">
        <v>11.24</v>
      </c>
      <c r="J120">
        <v>0.7</v>
      </c>
      <c r="K120">
        <v>1.8</v>
      </c>
      <c r="L120">
        <v>27.3</v>
      </c>
    </row>
    <row r="121" spans="1:12" x14ac:dyDescent="0.25">
      <c r="A121">
        <v>2007</v>
      </c>
      <c r="B121" t="s">
        <v>1</v>
      </c>
      <c r="C121" s="1">
        <v>595509</v>
      </c>
      <c r="D121">
        <v>55.07</v>
      </c>
      <c r="E121">
        <v>87.31</v>
      </c>
      <c r="F121">
        <v>85.92</v>
      </c>
      <c r="G121">
        <v>64.739999999999995</v>
      </c>
      <c r="H121">
        <v>35.19</v>
      </c>
      <c r="I121">
        <v>9.4600000000000009</v>
      </c>
      <c r="J121">
        <v>0.53</v>
      </c>
      <c r="K121">
        <v>1.69</v>
      </c>
      <c r="L121">
        <v>27</v>
      </c>
    </row>
    <row r="122" spans="1:12" x14ac:dyDescent="0.25">
      <c r="A122">
        <v>2007</v>
      </c>
      <c r="B122" t="s">
        <v>2</v>
      </c>
      <c r="C122" s="1">
        <v>8781</v>
      </c>
      <c r="D122">
        <v>54.1</v>
      </c>
      <c r="E122">
        <v>82.15</v>
      </c>
      <c r="F122">
        <v>78.88</v>
      </c>
      <c r="G122">
        <v>54.59</v>
      </c>
      <c r="H122">
        <v>24.35</v>
      </c>
      <c r="I122">
        <v>5.66</v>
      </c>
      <c r="J122">
        <v>0.12</v>
      </c>
      <c r="K122">
        <v>1.5</v>
      </c>
      <c r="L122">
        <v>26.3</v>
      </c>
    </row>
    <row r="123" spans="1:12" x14ac:dyDescent="0.25">
      <c r="A123">
        <v>2007</v>
      </c>
      <c r="B123" t="s">
        <v>3</v>
      </c>
      <c r="C123" s="1">
        <v>5458</v>
      </c>
      <c r="D123">
        <v>63.09</v>
      </c>
      <c r="E123">
        <v>93.32</v>
      </c>
      <c r="F123">
        <v>77.77</v>
      </c>
      <c r="G123">
        <v>49.75</v>
      </c>
      <c r="H123">
        <v>23.71</v>
      </c>
      <c r="I123">
        <v>5.23</v>
      </c>
      <c r="J123">
        <v>0.22</v>
      </c>
      <c r="K123">
        <v>1.57</v>
      </c>
      <c r="L123">
        <v>25.8</v>
      </c>
    </row>
    <row r="124" spans="1:12" x14ac:dyDescent="0.25">
      <c r="A124">
        <v>2007</v>
      </c>
      <c r="B124" t="s">
        <v>4</v>
      </c>
      <c r="C124" s="1">
        <v>13710</v>
      </c>
      <c r="D124">
        <v>58.19</v>
      </c>
      <c r="E124">
        <v>85.53</v>
      </c>
      <c r="F124">
        <v>84.98</v>
      </c>
      <c r="G124">
        <v>57.85</v>
      </c>
      <c r="H124">
        <v>26.79</v>
      </c>
      <c r="I124">
        <v>6.14</v>
      </c>
      <c r="J124">
        <v>0.35</v>
      </c>
      <c r="K124">
        <v>1.6</v>
      </c>
      <c r="L124">
        <v>26.4</v>
      </c>
    </row>
    <row r="125" spans="1:12" x14ac:dyDescent="0.25">
      <c r="A125">
        <v>2007</v>
      </c>
      <c r="B125" t="s">
        <v>5</v>
      </c>
      <c r="C125" s="1">
        <v>81519</v>
      </c>
      <c r="D125">
        <v>50.24</v>
      </c>
      <c r="E125">
        <v>80.459999999999994</v>
      </c>
      <c r="F125">
        <v>81.88</v>
      </c>
      <c r="G125">
        <v>60.38</v>
      </c>
      <c r="H125">
        <v>31.69</v>
      </c>
      <c r="I125">
        <v>7.89</v>
      </c>
      <c r="J125">
        <v>0.44</v>
      </c>
      <c r="K125">
        <v>1.56</v>
      </c>
      <c r="L125">
        <v>27</v>
      </c>
    </row>
    <row r="126" spans="1:12" x14ac:dyDescent="0.25">
      <c r="A126">
        <v>2007</v>
      </c>
      <c r="B126" t="s">
        <v>6</v>
      </c>
      <c r="C126" s="1">
        <v>12160</v>
      </c>
      <c r="D126">
        <v>54.45</v>
      </c>
      <c r="E126">
        <v>82.23</v>
      </c>
      <c r="F126">
        <v>81.739999999999995</v>
      </c>
      <c r="G126">
        <v>55.93</v>
      </c>
      <c r="H126">
        <v>26.62</v>
      </c>
      <c r="I126">
        <v>6.55</v>
      </c>
      <c r="J126">
        <v>0.28999999999999998</v>
      </c>
      <c r="K126">
        <v>1.54</v>
      </c>
      <c r="L126">
        <v>26.5</v>
      </c>
    </row>
    <row r="127" spans="1:12" x14ac:dyDescent="0.25">
      <c r="A127">
        <v>2007</v>
      </c>
      <c r="B127" t="s">
        <v>7</v>
      </c>
      <c r="C127" s="1">
        <v>10361</v>
      </c>
      <c r="D127">
        <v>62.19</v>
      </c>
      <c r="E127">
        <v>94.64</v>
      </c>
      <c r="F127">
        <v>94.14</v>
      </c>
      <c r="G127">
        <v>60.89</v>
      </c>
      <c r="H127">
        <v>32.049999999999997</v>
      </c>
      <c r="I127">
        <v>9.32</v>
      </c>
      <c r="J127">
        <v>0.4</v>
      </c>
      <c r="K127">
        <v>1.77</v>
      </c>
      <c r="L127">
        <v>26.6</v>
      </c>
    </row>
    <row r="128" spans="1:12" x14ac:dyDescent="0.25">
      <c r="A128">
        <v>2007</v>
      </c>
      <c r="B128" t="s">
        <v>8</v>
      </c>
      <c r="C128" s="1">
        <v>7912</v>
      </c>
      <c r="D128">
        <v>77.569999999999993</v>
      </c>
      <c r="E128">
        <v>109.22</v>
      </c>
      <c r="F128">
        <v>88.92</v>
      </c>
      <c r="G128">
        <v>57.62</v>
      </c>
      <c r="H128">
        <v>28.22</v>
      </c>
      <c r="I128">
        <v>10.44</v>
      </c>
      <c r="J128">
        <v>0.39</v>
      </c>
      <c r="K128">
        <v>1.86</v>
      </c>
      <c r="L128">
        <v>25.9</v>
      </c>
    </row>
    <row r="129" spans="1:12" x14ac:dyDescent="0.25">
      <c r="A129">
        <v>2007</v>
      </c>
      <c r="B129" t="s">
        <v>9</v>
      </c>
      <c r="C129" s="1">
        <v>11910</v>
      </c>
      <c r="D129">
        <v>54.96</v>
      </c>
      <c r="E129">
        <v>85.56</v>
      </c>
      <c r="F129">
        <v>83.06</v>
      </c>
      <c r="G129">
        <v>55.39</v>
      </c>
      <c r="H129">
        <v>27.3</v>
      </c>
      <c r="I129">
        <v>6.51</v>
      </c>
      <c r="J129">
        <v>0.26</v>
      </c>
      <c r="K129">
        <v>1.57</v>
      </c>
      <c r="L129">
        <v>26.5</v>
      </c>
    </row>
    <row r="130" spans="1:12" x14ac:dyDescent="0.25">
      <c r="A130">
        <v>2007</v>
      </c>
      <c r="B130" t="s">
        <v>10</v>
      </c>
      <c r="C130" s="1">
        <v>10001</v>
      </c>
      <c r="D130">
        <v>53.17</v>
      </c>
      <c r="E130">
        <v>80.790000000000006</v>
      </c>
      <c r="F130">
        <v>81.510000000000005</v>
      </c>
      <c r="G130">
        <v>54.75</v>
      </c>
      <c r="H130">
        <v>27.22</v>
      </c>
      <c r="I130">
        <v>6.46</v>
      </c>
      <c r="J130">
        <v>0.18</v>
      </c>
      <c r="K130">
        <v>1.52</v>
      </c>
      <c r="L130">
        <v>26.5</v>
      </c>
    </row>
    <row r="131" spans="1:12" x14ac:dyDescent="0.25">
      <c r="A131">
        <v>2007</v>
      </c>
      <c r="B131" t="s">
        <v>11</v>
      </c>
      <c r="C131" s="1">
        <v>4324</v>
      </c>
      <c r="D131">
        <v>75.010000000000005</v>
      </c>
      <c r="E131">
        <v>114.29</v>
      </c>
      <c r="F131">
        <v>101.86</v>
      </c>
      <c r="G131">
        <v>63.74</v>
      </c>
      <c r="H131">
        <v>33.64</v>
      </c>
      <c r="I131">
        <v>10.45</v>
      </c>
      <c r="J131">
        <v>0.92</v>
      </c>
      <c r="K131">
        <v>2</v>
      </c>
      <c r="L131">
        <v>26.3</v>
      </c>
    </row>
    <row r="132" spans="1:12" x14ac:dyDescent="0.25">
      <c r="A132">
        <v>2007</v>
      </c>
      <c r="B132" t="s">
        <v>12</v>
      </c>
      <c r="C132" s="1">
        <v>16435</v>
      </c>
      <c r="D132">
        <v>51.82</v>
      </c>
      <c r="E132">
        <v>81.680000000000007</v>
      </c>
      <c r="F132">
        <v>80.55</v>
      </c>
      <c r="G132">
        <v>59.15</v>
      </c>
      <c r="H132">
        <v>31.13</v>
      </c>
      <c r="I132">
        <v>8.3000000000000007</v>
      </c>
      <c r="J132">
        <v>0.38</v>
      </c>
      <c r="K132">
        <v>1.57</v>
      </c>
      <c r="L132">
        <v>26.9</v>
      </c>
    </row>
    <row r="133" spans="1:12" x14ac:dyDescent="0.25">
      <c r="A133">
        <v>2007</v>
      </c>
      <c r="B133" t="s">
        <v>13</v>
      </c>
      <c r="C133" s="1">
        <v>25333</v>
      </c>
      <c r="D133">
        <v>61.75</v>
      </c>
      <c r="E133">
        <v>100.37</v>
      </c>
      <c r="F133">
        <v>92.23</v>
      </c>
      <c r="G133">
        <v>68.83</v>
      </c>
      <c r="H133">
        <v>37.69</v>
      </c>
      <c r="I133">
        <v>10.27</v>
      </c>
      <c r="J133">
        <v>0.64</v>
      </c>
      <c r="K133">
        <v>1.86</v>
      </c>
      <c r="L133">
        <v>26.9</v>
      </c>
    </row>
    <row r="134" spans="1:12" x14ac:dyDescent="0.25">
      <c r="A134">
        <v>2007</v>
      </c>
      <c r="B134" t="s">
        <v>14</v>
      </c>
      <c r="C134" s="1">
        <v>16285</v>
      </c>
      <c r="D134">
        <v>49.91</v>
      </c>
      <c r="E134">
        <v>76.33</v>
      </c>
      <c r="F134">
        <v>78.44</v>
      </c>
      <c r="G134">
        <v>49.67</v>
      </c>
      <c r="H134">
        <v>23.12</v>
      </c>
      <c r="I134">
        <v>5.07</v>
      </c>
      <c r="J134">
        <v>0.19</v>
      </c>
      <c r="K134">
        <v>1.41</v>
      </c>
      <c r="L134">
        <v>26.4</v>
      </c>
    </row>
    <row r="135" spans="1:12" x14ac:dyDescent="0.25">
      <c r="A135">
        <v>2007</v>
      </c>
      <c r="B135" t="s">
        <v>15</v>
      </c>
      <c r="C135" s="1">
        <v>31963</v>
      </c>
      <c r="D135">
        <v>54.11</v>
      </c>
      <c r="E135">
        <v>91.41</v>
      </c>
      <c r="F135">
        <v>87.87</v>
      </c>
      <c r="G135">
        <v>61.91</v>
      </c>
      <c r="H135">
        <v>31.94</v>
      </c>
      <c r="I135">
        <v>8.85</v>
      </c>
      <c r="J135">
        <v>0.52</v>
      </c>
      <c r="K135">
        <v>1.68</v>
      </c>
      <c r="L135">
        <v>26.8</v>
      </c>
    </row>
    <row r="136" spans="1:12" x14ac:dyDescent="0.25">
      <c r="A136">
        <v>2007</v>
      </c>
      <c r="B136" t="s">
        <v>16</v>
      </c>
      <c r="C136" s="1">
        <v>32082</v>
      </c>
      <c r="D136">
        <v>59.32</v>
      </c>
      <c r="E136">
        <v>92.73</v>
      </c>
      <c r="F136">
        <v>87.91</v>
      </c>
      <c r="G136">
        <v>61.2</v>
      </c>
      <c r="H136">
        <v>31.08</v>
      </c>
      <c r="I136">
        <v>8.7100000000000009</v>
      </c>
      <c r="J136">
        <v>0.64</v>
      </c>
      <c r="K136">
        <v>1.71</v>
      </c>
      <c r="L136">
        <v>26.6</v>
      </c>
    </row>
    <row r="137" spans="1:12" x14ac:dyDescent="0.25">
      <c r="A137">
        <v>2007</v>
      </c>
      <c r="B137" t="s">
        <v>17</v>
      </c>
      <c r="C137" s="1">
        <v>307071</v>
      </c>
      <c r="D137">
        <v>54.76</v>
      </c>
      <c r="E137">
        <v>88.01</v>
      </c>
      <c r="F137">
        <v>87.35</v>
      </c>
      <c r="G137">
        <v>70.040000000000006</v>
      </c>
      <c r="H137">
        <v>40.22</v>
      </c>
      <c r="I137">
        <v>11.17</v>
      </c>
      <c r="J137">
        <v>0.65</v>
      </c>
      <c r="K137">
        <v>1.76</v>
      </c>
      <c r="L137">
        <v>27.3</v>
      </c>
    </row>
    <row r="138" spans="1:12" x14ac:dyDescent="0.25">
      <c r="A138">
        <v>2008</v>
      </c>
      <c r="B138" t="s">
        <v>1</v>
      </c>
      <c r="C138" s="1">
        <v>601872</v>
      </c>
      <c r="D138">
        <v>54.2</v>
      </c>
      <c r="E138">
        <v>85.89</v>
      </c>
      <c r="F138">
        <v>86.38</v>
      </c>
      <c r="G138">
        <v>66.819999999999993</v>
      </c>
      <c r="H138">
        <v>36.53</v>
      </c>
      <c r="I138">
        <v>9.7200000000000006</v>
      </c>
      <c r="J138">
        <v>0.6</v>
      </c>
      <c r="K138">
        <v>1.7</v>
      </c>
      <c r="L138">
        <v>27.2</v>
      </c>
    </row>
    <row r="139" spans="1:12" x14ac:dyDescent="0.25">
      <c r="A139">
        <v>2008</v>
      </c>
      <c r="B139" t="s">
        <v>2</v>
      </c>
      <c r="C139" s="1">
        <v>9233</v>
      </c>
      <c r="D139">
        <v>55.58</v>
      </c>
      <c r="E139">
        <v>84.93</v>
      </c>
      <c r="F139">
        <v>83.81</v>
      </c>
      <c r="G139">
        <v>57.47</v>
      </c>
      <c r="H139">
        <v>26.92</v>
      </c>
      <c r="I139">
        <v>6.36</v>
      </c>
      <c r="J139">
        <v>0.35</v>
      </c>
      <c r="K139">
        <v>1.58</v>
      </c>
      <c r="L139">
        <v>26.5</v>
      </c>
    </row>
    <row r="140" spans="1:12" x14ac:dyDescent="0.25">
      <c r="A140">
        <v>2008</v>
      </c>
      <c r="B140" t="s">
        <v>3</v>
      </c>
      <c r="C140" s="1">
        <v>5395</v>
      </c>
      <c r="D140">
        <v>57.72</v>
      </c>
      <c r="E140">
        <v>89.19</v>
      </c>
      <c r="F140">
        <v>76.819999999999993</v>
      </c>
      <c r="G140">
        <v>54.05</v>
      </c>
      <c r="H140">
        <v>25.03</v>
      </c>
      <c r="I140">
        <v>6.32</v>
      </c>
      <c r="J140">
        <v>7.0000000000000007E-2</v>
      </c>
      <c r="K140">
        <v>1.55</v>
      </c>
      <c r="L140">
        <v>26.2</v>
      </c>
    </row>
    <row r="141" spans="1:12" x14ac:dyDescent="0.25">
      <c r="A141">
        <v>2008</v>
      </c>
      <c r="B141" t="s">
        <v>4</v>
      </c>
      <c r="C141" s="1">
        <v>13789</v>
      </c>
      <c r="D141">
        <v>55.74</v>
      </c>
      <c r="E141">
        <v>82.94</v>
      </c>
      <c r="F141">
        <v>84.81</v>
      </c>
      <c r="G141">
        <v>59.84</v>
      </c>
      <c r="H141">
        <v>30.06</v>
      </c>
      <c r="I141">
        <v>7.11</v>
      </c>
      <c r="J141">
        <v>0.43</v>
      </c>
      <c r="K141">
        <v>1.6</v>
      </c>
      <c r="L141">
        <v>26.7</v>
      </c>
    </row>
    <row r="142" spans="1:12" x14ac:dyDescent="0.25">
      <c r="A142">
        <v>2008</v>
      </c>
      <c r="B142" t="s">
        <v>5</v>
      </c>
      <c r="C142" s="1">
        <v>83404</v>
      </c>
      <c r="D142">
        <v>50.02</v>
      </c>
      <c r="E142">
        <v>80.209999999999994</v>
      </c>
      <c r="F142">
        <v>82.91</v>
      </c>
      <c r="G142">
        <v>62.54</v>
      </c>
      <c r="H142">
        <v>32.659999999999997</v>
      </c>
      <c r="I142">
        <v>7.99</v>
      </c>
      <c r="J142">
        <v>0.52</v>
      </c>
      <c r="K142">
        <v>1.58</v>
      </c>
      <c r="L142">
        <v>27.1</v>
      </c>
    </row>
    <row r="143" spans="1:12" x14ac:dyDescent="0.25">
      <c r="A143">
        <v>2008</v>
      </c>
      <c r="B143" t="s">
        <v>6</v>
      </c>
      <c r="C143" s="1">
        <v>12037</v>
      </c>
      <c r="D143">
        <v>51.31</v>
      </c>
      <c r="E143">
        <v>78.31</v>
      </c>
      <c r="F143">
        <v>80.77</v>
      </c>
      <c r="G143">
        <v>57.25</v>
      </c>
      <c r="H143">
        <v>27.85</v>
      </c>
      <c r="I143">
        <v>7.26</v>
      </c>
      <c r="J143">
        <v>0.34</v>
      </c>
      <c r="K143">
        <v>1.52</v>
      </c>
      <c r="L143">
        <v>26.8</v>
      </c>
    </row>
    <row r="144" spans="1:12" x14ac:dyDescent="0.25">
      <c r="A144">
        <v>2008</v>
      </c>
      <c r="B144" t="s">
        <v>7</v>
      </c>
      <c r="C144" s="1">
        <v>10060</v>
      </c>
      <c r="D144">
        <v>56.83</v>
      </c>
      <c r="E144">
        <v>89.88</v>
      </c>
      <c r="F144">
        <v>88.62</v>
      </c>
      <c r="G144">
        <v>63.48</v>
      </c>
      <c r="H144">
        <v>34.21</v>
      </c>
      <c r="I144">
        <v>8.82</v>
      </c>
      <c r="J144">
        <v>0.39</v>
      </c>
      <c r="K144">
        <v>1.71</v>
      </c>
      <c r="L144">
        <v>26.9</v>
      </c>
    </row>
    <row r="145" spans="1:12" x14ac:dyDescent="0.25">
      <c r="A145">
        <v>2008</v>
      </c>
      <c r="B145" t="s">
        <v>8</v>
      </c>
      <c r="C145" s="1">
        <v>7725</v>
      </c>
      <c r="D145">
        <v>74.23</v>
      </c>
      <c r="E145">
        <v>106.44</v>
      </c>
      <c r="F145">
        <v>91.45</v>
      </c>
      <c r="G145">
        <v>54.62</v>
      </c>
      <c r="H145">
        <v>30.36</v>
      </c>
      <c r="I145">
        <v>8.35</v>
      </c>
      <c r="J145">
        <v>0.51</v>
      </c>
      <c r="K145">
        <v>1.83</v>
      </c>
      <c r="L145">
        <v>26</v>
      </c>
    </row>
    <row r="146" spans="1:12" x14ac:dyDescent="0.25">
      <c r="A146">
        <v>2008</v>
      </c>
      <c r="B146" t="s">
        <v>9</v>
      </c>
      <c r="C146" s="1">
        <v>12107</v>
      </c>
      <c r="D146">
        <v>56.55</v>
      </c>
      <c r="E146">
        <v>83.48</v>
      </c>
      <c r="F146">
        <v>83.36</v>
      </c>
      <c r="G146">
        <v>60.27</v>
      </c>
      <c r="H146">
        <v>28.26</v>
      </c>
      <c r="I146">
        <v>6.19</v>
      </c>
      <c r="J146">
        <v>0.28000000000000003</v>
      </c>
      <c r="K146">
        <v>1.59</v>
      </c>
      <c r="L146">
        <v>26.6</v>
      </c>
    </row>
    <row r="147" spans="1:12" x14ac:dyDescent="0.25">
      <c r="A147">
        <v>2008</v>
      </c>
      <c r="B147" t="s">
        <v>10</v>
      </c>
      <c r="C147" s="1">
        <v>10027</v>
      </c>
      <c r="D147">
        <v>51.41</v>
      </c>
      <c r="E147">
        <v>80.260000000000005</v>
      </c>
      <c r="F147">
        <v>80.430000000000007</v>
      </c>
      <c r="G147">
        <v>58.24</v>
      </c>
      <c r="H147">
        <v>28.92</v>
      </c>
      <c r="I147">
        <v>7.6</v>
      </c>
      <c r="J147">
        <v>0.21</v>
      </c>
      <c r="K147">
        <v>1.54</v>
      </c>
      <c r="L147">
        <v>26.8</v>
      </c>
    </row>
    <row r="148" spans="1:12" x14ac:dyDescent="0.25">
      <c r="A148">
        <v>2008</v>
      </c>
      <c r="B148" t="s">
        <v>11</v>
      </c>
      <c r="C148" s="1">
        <v>4174</v>
      </c>
      <c r="D148">
        <v>71.13</v>
      </c>
      <c r="E148">
        <v>110.93</v>
      </c>
      <c r="F148">
        <v>98.69</v>
      </c>
      <c r="G148">
        <v>61.27</v>
      </c>
      <c r="H148">
        <v>34.44</v>
      </c>
      <c r="I148">
        <v>12.78</v>
      </c>
      <c r="J148">
        <v>1.1499999999999999</v>
      </c>
      <c r="K148">
        <v>1.95</v>
      </c>
      <c r="L148">
        <v>26.5</v>
      </c>
    </row>
    <row r="149" spans="1:12" x14ac:dyDescent="0.25">
      <c r="A149">
        <v>2008</v>
      </c>
      <c r="B149" t="s">
        <v>12</v>
      </c>
      <c r="C149" s="1">
        <v>16746</v>
      </c>
      <c r="D149">
        <v>52.51</v>
      </c>
      <c r="E149">
        <v>79.150000000000006</v>
      </c>
      <c r="F149">
        <v>81.19</v>
      </c>
      <c r="G149">
        <v>61.2</v>
      </c>
      <c r="H149">
        <v>31.54</v>
      </c>
      <c r="I149">
        <v>7.72</v>
      </c>
      <c r="J149">
        <v>0.7</v>
      </c>
      <c r="K149">
        <v>1.57</v>
      </c>
      <c r="L149">
        <v>27</v>
      </c>
    </row>
    <row r="150" spans="1:12" x14ac:dyDescent="0.25">
      <c r="A150">
        <v>2008</v>
      </c>
      <c r="B150" t="s">
        <v>13</v>
      </c>
      <c r="C150" s="1">
        <v>25158</v>
      </c>
      <c r="D150">
        <v>60.27</v>
      </c>
      <c r="E150">
        <v>95.5</v>
      </c>
      <c r="F150">
        <v>92.48</v>
      </c>
      <c r="G150">
        <v>68.88</v>
      </c>
      <c r="H150">
        <v>39.53</v>
      </c>
      <c r="I150">
        <v>10.74</v>
      </c>
      <c r="J150">
        <v>0.68</v>
      </c>
      <c r="K150">
        <v>1.84</v>
      </c>
      <c r="L150">
        <v>27</v>
      </c>
    </row>
    <row r="151" spans="1:12" x14ac:dyDescent="0.25">
      <c r="A151">
        <v>2008</v>
      </c>
      <c r="B151" t="s">
        <v>14</v>
      </c>
      <c r="C151" s="1">
        <v>16929</v>
      </c>
      <c r="D151">
        <v>50.11</v>
      </c>
      <c r="E151">
        <v>75.290000000000006</v>
      </c>
      <c r="F151">
        <v>80.92</v>
      </c>
      <c r="G151">
        <v>54.93</v>
      </c>
      <c r="H151">
        <v>25.1</v>
      </c>
      <c r="I151">
        <v>5.7</v>
      </c>
      <c r="J151">
        <v>0.36</v>
      </c>
      <c r="K151">
        <v>1.46</v>
      </c>
      <c r="L151">
        <v>26.6</v>
      </c>
    </row>
    <row r="152" spans="1:12" x14ac:dyDescent="0.25">
      <c r="A152">
        <v>2008</v>
      </c>
      <c r="B152" t="s">
        <v>15</v>
      </c>
      <c r="C152" s="1">
        <v>32444</v>
      </c>
      <c r="D152">
        <v>54.65</v>
      </c>
      <c r="E152">
        <v>88.22</v>
      </c>
      <c r="F152">
        <v>89.63</v>
      </c>
      <c r="G152">
        <v>63.7</v>
      </c>
      <c r="H152">
        <v>33.92</v>
      </c>
      <c r="I152">
        <v>8.9499999999999993</v>
      </c>
      <c r="J152">
        <v>0.41</v>
      </c>
      <c r="K152">
        <v>1.7</v>
      </c>
      <c r="L152">
        <v>26.9</v>
      </c>
    </row>
    <row r="153" spans="1:12" x14ac:dyDescent="0.25">
      <c r="A153">
        <v>2008</v>
      </c>
      <c r="B153" t="s">
        <v>16</v>
      </c>
      <c r="C153" s="1">
        <v>32175</v>
      </c>
      <c r="D153">
        <v>56.69</v>
      </c>
      <c r="E153">
        <v>90.48</v>
      </c>
      <c r="F153">
        <v>88.23</v>
      </c>
      <c r="G153">
        <v>62.22</v>
      </c>
      <c r="H153">
        <v>31.82</v>
      </c>
      <c r="I153">
        <v>8.8800000000000008</v>
      </c>
      <c r="J153">
        <v>0.56999999999999995</v>
      </c>
      <c r="K153">
        <v>1.69</v>
      </c>
      <c r="L153">
        <v>26.8</v>
      </c>
    </row>
    <row r="154" spans="1:12" x14ac:dyDescent="0.25">
      <c r="A154">
        <v>2008</v>
      </c>
      <c r="B154" t="s">
        <v>17</v>
      </c>
      <c r="C154" s="1">
        <v>310406</v>
      </c>
      <c r="D154">
        <v>54.01</v>
      </c>
      <c r="E154">
        <v>87.11</v>
      </c>
      <c r="F154">
        <v>87.65</v>
      </c>
      <c r="G154">
        <v>72.14</v>
      </c>
      <c r="H154">
        <v>41.46</v>
      </c>
      <c r="I154">
        <v>11.47</v>
      </c>
      <c r="J154">
        <v>0.74</v>
      </c>
      <c r="K154">
        <v>1.77</v>
      </c>
      <c r="L154">
        <v>27.5</v>
      </c>
    </row>
    <row r="155" spans="1:12" x14ac:dyDescent="0.25">
      <c r="A155">
        <v>2009</v>
      </c>
      <c r="B155" t="s">
        <v>1</v>
      </c>
      <c r="C155" s="1">
        <v>598909</v>
      </c>
      <c r="D155">
        <v>53.77</v>
      </c>
      <c r="E155">
        <v>85.69</v>
      </c>
      <c r="F155">
        <v>83.8</v>
      </c>
      <c r="G155">
        <v>66.34</v>
      </c>
      <c r="H155">
        <v>36.770000000000003</v>
      </c>
      <c r="I155">
        <v>9.91</v>
      </c>
      <c r="J155">
        <v>0.59</v>
      </c>
      <c r="K155">
        <v>1.68</v>
      </c>
      <c r="L155">
        <v>27.2</v>
      </c>
    </row>
    <row r="156" spans="1:12" x14ac:dyDescent="0.25">
      <c r="A156">
        <v>2009</v>
      </c>
      <c r="B156" t="s">
        <v>2</v>
      </c>
      <c r="C156" s="1">
        <v>9026</v>
      </c>
      <c r="D156">
        <v>55.97</v>
      </c>
      <c r="E156">
        <v>83.14</v>
      </c>
      <c r="F156">
        <v>79.53</v>
      </c>
      <c r="G156">
        <v>58</v>
      </c>
      <c r="H156">
        <v>25.89</v>
      </c>
      <c r="I156">
        <v>5.58</v>
      </c>
      <c r="J156">
        <v>0.34</v>
      </c>
      <c r="K156">
        <v>1.54</v>
      </c>
      <c r="L156">
        <v>26.4</v>
      </c>
    </row>
    <row r="157" spans="1:12" x14ac:dyDescent="0.25">
      <c r="A157">
        <v>2009</v>
      </c>
      <c r="B157" t="s">
        <v>3</v>
      </c>
      <c r="C157" s="1">
        <v>5376</v>
      </c>
      <c r="D157">
        <v>56.91</v>
      </c>
      <c r="E157">
        <v>85.47</v>
      </c>
      <c r="F157">
        <v>80.28</v>
      </c>
      <c r="G157">
        <v>52.64</v>
      </c>
      <c r="H157">
        <v>27.44</v>
      </c>
      <c r="I157">
        <v>5.85</v>
      </c>
      <c r="J157">
        <v>0.21</v>
      </c>
      <c r="K157">
        <v>1.54</v>
      </c>
      <c r="L157">
        <v>26.3</v>
      </c>
    </row>
    <row r="158" spans="1:12" x14ac:dyDescent="0.25">
      <c r="A158">
        <v>2009</v>
      </c>
      <c r="B158" t="s">
        <v>4</v>
      </c>
      <c r="C158" s="1">
        <v>13372</v>
      </c>
      <c r="D158">
        <v>55.7</v>
      </c>
      <c r="E158">
        <v>82.8</v>
      </c>
      <c r="F158">
        <v>80.069999999999993</v>
      </c>
      <c r="G158">
        <v>57.71</v>
      </c>
      <c r="H158">
        <v>27.35</v>
      </c>
      <c r="I158">
        <v>5.48</v>
      </c>
      <c r="J158">
        <v>0.42</v>
      </c>
      <c r="K158">
        <v>1.55</v>
      </c>
      <c r="L158">
        <v>26.5</v>
      </c>
    </row>
    <row r="159" spans="1:12" x14ac:dyDescent="0.25">
      <c r="A159">
        <v>2009</v>
      </c>
      <c r="B159" t="s">
        <v>5</v>
      </c>
      <c r="C159" s="1">
        <v>83820</v>
      </c>
      <c r="D159">
        <v>49.13</v>
      </c>
      <c r="E159">
        <v>79.13</v>
      </c>
      <c r="F159">
        <v>81.17</v>
      </c>
      <c r="G159">
        <v>63.22</v>
      </c>
      <c r="H159">
        <v>33.25</v>
      </c>
      <c r="I159">
        <v>8.7100000000000009</v>
      </c>
      <c r="J159">
        <v>0.41</v>
      </c>
      <c r="K159">
        <v>1.58</v>
      </c>
      <c r="L159">
        <v>27.2</v>
      </c>
    </row>
    <row r="160" spans="1:12" x14ac:dyDescent="0.25">
      <c r="A160">
        <v>2009</v>
      </c>
      <c r="B160" t="s">
        <v>6</v>
      </c>
      <c r="C160" s="1">
        <v>12237</v>
      </c>
      <c r="D160">
        <v>51.63</v>
      </c>
      <c r="E160">
        <v>80.53</v>
      </c>
      <c r="F160">
        <v>78.989999999999995</v>
      </c>
      <c r="G160">
        <v>57.67</v>
      </c>
      <c r="H160">
        <v>29.04</v>
      </c>
      <c r="I160">
        <v>7.31</v>
      </c>
      <c r="J160">
        <v>0.33</v>
      </c>
      <c r="K160">
        <v>1.53</v>
      </c>
      <c r="L160">
        <v>26.8</v>
      </c>
    </row>
    <row r="161" spans="1:12" x14ac:dyDescent="0.25">
      <c r="A161">
        <v>2009</v>
      </c>
      <c r="B161" t="s">
        <v>7</v>
      </c>
      <c r="C161" s="1">
        <v>9811</v>
      </c>
      <c r="D161">
        <v>56.81</v>
      </c>
      <c r="E161">
        <v>86.97</v>
      </c>
      <c r="F161">
        <v>84.08</v>
      </c>
      <c r="G161">
        <v>62.19</v>
      </c>
      <c r="H161">
        <v>32.32</v>
      </c>
      <c r="I161">
        <v>8.61</v>
      </c>
      <c r="J161">
        <v>0.3</v>
      </c>
      <c r="K161">
        <v>1.66</v>
      </c>
      <c r="L161">
        <v>26.8</v>
      </c>
    </row>
    <row r="162" spans="1:12" x14ac:dyDescent="0.25">
      <c r="A162">
        <v>2009</v>
      </c>
      <c r="B162" t="s">
        <v>8</v>
      </c>
      <c r="C162" s="1">
        <v>7517</v>
      </c>
      <c r="D162">
        <v>75.459999999999994</v>
      </c>
      <c r="E162">
        <v>104.35</v>
      </c>
      <c r="F162">
        <v>84.8</v>
      </c>
      <c r="G162">
        <v>54.21</v>
      </c>
      <c r="H162">
        <v>27.82</v>
      </c>
      <c r="I162">
        <v>9.48</v>
      </c>
      <c r="J162">
        <v>0.5</v>
      </c>
      <c r="K162">
        <v>1.78</v>
      </c>
      <c r="L162">
        <v>25.9</v>
      </c>
    </row>
    <row r="163" spans="1:12" x14ac:dyDescent="0.25">
      <c r="A163">
        <v>2009</v>
      </c>
      <c r="B163" t="s">
        <v>9</v>
      </c>
      <c r="C163" s="1">
        <v>12350</v>
      </c>
      <c r="D163">
        <v>57.26</v>
      </c>
      <c r="E163">
        <v>86.66</v>
      </c>
      <c r="F163">
        <v>84.84</v>
      </c>
      <c r="G163">
        <v>58.11</v>
      </c>
      <c r="H163">
        <v>30.21</v>
      </c>
      <c r="I163">
        <v>7.5</v>
      </c>
      <c r="J163">
        <v>0.46</v>
      </c>
      <c r="K163">
        <v>1.63</v>
      </c>
      <c r="L163">
        <v>26.6</v>
      </c>
    </row>
    <row r="164" spans="1:12" x14ac:dyDescent="0.25">
      <c r="A164">
        <v>2009</v>
      </c>
      <c r="B164" t="s">
        <v>10</v>
      </c>
      <c r="C164" s="1">
        <v>10023</v>
      </c>
      <c r="D164">
        <v>51.13</v>
      </c>
      <c r="E164">
        <v>81.52</v>
      </c>
      <c r="F164">
        <v>81.459999999999994</v>
      </c>
      <c r="G164">
        <v>58.53</v>
      </c>
      <c r="H164">
        <v>27.58</v>
      </c>
      <c r="I164">
        <v>6.54</v>
      </c>
      <c r="J164">
        <v>0.51</v>
      </c>
      <c r="K164">
        <v>1.54</v>
      </c>
      <c r="L164">
        <v>26.7</v>
      </c>
    </row>
    <row r="165" spans="1:12" x14ac:dyDescent="0.25">
      <c r="A165">
        <v>2009</v>
      </c>
      <c r="B165" t="s">
        <v>11</v>
      </c>
      <c r="C165" s="1">
        <v>4151</v>
      </c>
      <c r="D165">
        <v>71.62</v>
      </c>
      <c r="E165">
        <v>113.3</v>
      </c>
      <c r="F165">
        <v>95.94</v>
      </c>
      <c r="G165">
        <v>63.44</v>
      </c>
      <c r="H165">
        <v>35.700000000000003</v>
      </c>
      <c r="I165">
        <v>10.26</v>
      </c>
      <c r="J165">
        <v>0.75</v>
      </c>
      <c r="K165">
        <v>1.96</v>
      </c>
      <c r="L165">
        <v>26.4</v>
      </c>
    </row>
    <row r="166" spans="1:12" x14ac:dyDescent="0.25">
      <c r="A166">
        <v>2009</v>
      </c>
      <c r="B166" t="s">
        <v>12</v>
      </c>
      <c r="C166" s="1">
        <v>16924</v>
      </c>
      <c r="D166">
        <v>51.41</v>
      </c>
      <c r="E166">
        <v>77.459999999999994</v>
      </c>
      <c r="F166">
        <v>80.540000000000006</v>
      </c>
      <c r="G166">
        <v>63.23</v>
      </c>
      <c r="H166">
        <v>32.25</v>
      </c>
      <c r="I166">
        <v>8.23</v>
      </c>
      <c r="J166">
        <v>0.39</v>
      </c>
      <c r="K166">
        <v>1.57</v>
      </c>
      <c r="L166">
        <v>27.1</v>
      </c>
    </row>
    <row r="167" spans="1:12" x14ac:dyDescent="0.25">
      <c r="A167">
        <v>2009</v>
      </c>
      <c r="B167" t="s">
        <v>13</v>
      </c>
      <c r="C167" s="1">
        <v>24255</v>
      </c>
      <c r="D167">
        <v>57.97</v>
      </c>
      <c r="E167">
        <v>92.77</v>
      </c>
      <c r="F167">
        <v>87.38</v>
      </c>
      <c r="G167">
        <v>66.91</v>
      </c>
      <c r="H167">
        <v>37.53</v>
      </c>
      <c r="I167">
        <v>10.72</v>
      </c>
      <c r="J167">
        <v>0.53</v>
      </c>
      <c r="K167">
        <v>1.77</v>
      </c>
      <c r="L167">
        <v>27</v>
      </c>
    </row>
    <row r="168" spans="1:12" x14ac:dyDescent="0.25">
      <c r="A168">
        <v>2009</v>
      </c>
      <c r="B168" t="s">
        <v>14</v>
      </c>
      <c r="C168" s="1">
        <v>17117</v>
      </c>
      <c r="D168">
        <v>49.72</v>
      </c>
      <c r="E168">
        <v>77.39</v>
      </c>
      <c r="F168">
        <v>79.400000000000006</v>
      </c>
      <c r="G168">
        <v>55.54</v>
      </c>
      <c r="H168">
        <v>26.24</v>
      </c>
      <c r="I168">
        <v>5.74</v>
      </c>
      <c r="J168">
        <v>0.22</v>
      </c>
      <c r="K168">
        <v>1.47</v>
      </c>
      <c r="L168">
        <v>26.6</v>
      </c>
    </row>
    <row r="169" spans="1:12" x14ac:dyDescent="0.25">
      <c r="A169">
        <v>2009</v>
      </c>
      <c r="B169" t="s">
        <v>15</v>
      </c>
      <c r="C169" s="1">
        <v>32169</v>
      </c>
      <c r="D169">
        <v>54.7</v>
      </c>
      <c r="E169">
        <v>86.41</v>
      </c>
      <c r="F169">
        <v>86.34</v>
      </c>
      <c r="G169">
        <v>63.38</v>
      </c>
      <c r="H169">
        <v>33.96</v>
      </c>
      <c r="I169">
        <v>9.0500000000000007</v>
      </c>
      <c r="J169">
        <v>0.45</v>
      </c>
      <c r="K169">
        <v>1.67</v>
      </c>
      <c r="L169">
        <v>27</v>
      </c>
    </row>
    <row r="170" spans="1:12" x14ac:dyDescent="0.25">
      <c r="A170">
        <v>2009</v>
      </c>
      <c r="B170" t="s">
        <v>16</v>
      </c>
      <c r="C170" s="1">
        <v>31468</v>
      </c>
      <c r="D170">
        <v>55.59</v>
      </c>
      <c r="E170">
        <v>88.35</v>
      </c>
      <c r="F170">
        <v>82.22</v>
      </c>
      <c r="G170">
        <v>61.38</v>
      </c>
      <c r="H170">
        <v>32.090000000000003</v>
      </c>
      <c r="I170">
        <v>8.24</v>
      </c>
      <c r="J170">
        <v>0.41</v>
      </c>
      <c r="K170">
        <v>1.64</v>
      </c>
      <c r="L170">
        <v>26.8</v>
      </c>
    </row>
    <row r="171" spans="1:12" x14ac:dyDescent="0.25">
      <c r="A171">
        <v>2009</v>
      </c>
      <c r="B171" t="s">
        <v>17</v>
      </c>
      <c r="C171" s="1">
        <v>309241</v>
      </c>
      <c r="D171">
        <v>53.75</v>
      </c>
      <c r="E171">
        <v>87.64</v>
      </c>
      <c r="F171">
        <v>85.14</v>
      </c>
      <c r="G171">
        <v>71.290000000000006</v>
      </c>
      <c r="H171">
        <v>41.9</v>
      </c>
      <c r="I171">
        <v>11.79</v>
      </c>
      <c r="J171">
        <v>0.78</v>
      </c>
      <c r="K171">
        <v>1.76</v>
      </c>
      <c r="L171">
        <v>27.5</v>
      </c>
    </row>
    <row r="172" spans="1:12" x14ac:dyDescent="0.25">
      <c r="A172">
        <v>2010</v>
      </c>
      <c r="B172" t="s">
        <v>1</v>
      </c>
      <c r="C172" s="1">
        <v>601561</v>
      </c>
      <c r="D172">
        <v>52.37</v>
      </c>
      <c r="E172">
        <v>84.34</v>
      </c>
      <c r="F172">
        <v>83.35</v>
      </c>
      <c r="G172">
        <v>68.38</v>
      </c>
      <c r="H172">
        <v>37.82</v>
      </c>
      <c r="I172">
        <v>9.94</v>
      </c>
      <c r="J172">
        <v>0.57999999999999996</v>
      </c>
      <c r="K172">
        <v>1.68</v>
      </c>
      <c r="L172">
        <v>27.3</v>
      </c>
    </row>
    <row r="173" spans="1:12" x14ac:dyDescent="0.25">
      <c r="A173">
        <v>2010</v>
      </c>
      <c r="B173" t="s">
        <v>2</v>
      </c>
      <c r="C173" s="1">
        <v>9015</v>
      </c>
      <c r="D173">
        <v>51.28</v>
      </c>
      <c r="E173">
        <v>80.06</v>
      </c>
      <c r="F173">
        <v>82.82</v>
      </c>
      <c r="G173">
        <v>60.21</v>
      </c>
      <c r="H173">
        <v>26.81</v>
      </c>
      <c r="I173">
        <v>6.84</v>
      </c>
      <c r="J173">
        <v>0.26</v>
      </c>
      <c r="K173">
        <v>1.54</v>
      </c>
      <c r="L173">
        <v>26.7</v>
      </c>
    </row>
    <row r="174" spans="1:12" x14ac:dyDescent="0.25">
      <c r="A174">
        <v>2010</v>
      </c>
      <c r="B174" t="s">
        <v>3</v>
      </c>
      <c r="C174" s="1">
        <v>5105</v>
      </c>
      <c r="D174">
        <v>53.64</v>
      </c>
      <c r="E174">
        <v>81.25</v>
      </c>
      <c r="F174">
        <v>74.069999999999993</v>
      </c>
      <c r="G174">
        <v>51.12</v>
      </c>
      <c r="H174">
        <v>24.91</v>
      </c>
      <c r="I174">
        <v>5.39</v>
      </c>
      <c r="J174">
        <v>0.34</v>
      </c>
      <c r="K174">
        <v>1.45</v>
      </c>
      <c r="L174">
        <v>26.3</v>
      </c>
    </row>
    <row r="175" spans="1:12" x14ac:dyDescent="0.25">
      <c r="A175">
        <v>2010</v>
      </c>
      <c r="B175" t="s">
        <v>4</v>
      </c>
      <c r="C175" s="1">
        <v>13620</v>
      </c>
      <c r="D175">
        <v>53.14</v>
      </c>
      <c r="E175">
        <v>82.17</v>
      </c>
      <c r="F175">
        <v>79.180000000000007</v>
      </c>
      <c r="G175">
        <v>61.69</v>
      </c>
      <c r="H175">
        <v>30.45</v>
      </c>
      <c r="I175">
        <v>7.69</v>
      </c>
      <c r="J175">
        <v>0.49</v>
      </c>
      <c r="K175">
        <v>1.57</v>
      </c>
      <c r="L175">
        <v>26.9</v>
      </c>
    </row>
    <row r="176" spans="1:12" x14ac:dyDescent="0.25">
      <c r="A176">
        <v>2010</v>
      </c>
      <c r="B176" t="s">
        <v>5</v>
      </c>
      <c r="C176" s="1">
        <v>84784</v>
      </c>
      <c r="D176">
        <v>47.61</v>
      </c>
      <c r="E176">
        <v>78.3</v>
      </c>
      <c r="F176">
        <v>80.56</v>
      </c>
      <c r="G176">
        <v>65.72</v>
      </c>
      <c r="H176">
        <v>34.31</v>
      </c>
      <c r="I176">
        <v>8.4</v>
      </c>
      <c r="J176">
        <v>0.46</v>
      </c>
      <c r="K176">
        <v>1.58</v>
      </c>
      <c r="L176">
        <v>27.3</v>
      </c>
    </row>
    <row r="177" spans="1:12" x14ac:dyDescent="0.25">
      <c r="A177">
        <v>2010</v>
      </c>
      <c r="B177" t="s">
        <v>6</v>
      </c>
      <c r="C177" s="1">
        <v>12119</v>
      </c>
      <c r="D177">
        <v>49.44</v>
      </c>
      <c r="E177">
        <v>76.05</v>
      </c>
      <c r="F177">
        <v>77.28</v>
      </c>
      <c r="G177">
        <v>59.6</v>
      </c>
      <c r="H177">
        <v>30.83</v>
      </c>
      <c r="I177">
        <v>7.88</v>
      </c>
      <c r="J177">
        <v>0.35</v>
      </c>
      <c r="K177">
        <v>1.51</v>
      </c>
      <c r="L177">
        <v>27</v>
      </c>
    </row>
    <row r="178" spans="1:12" x14ac:dyDescent="0.25">
      <c r="A178">
        <v>2010</v>
      </c>
      <c r="B178" t="s">
        <v>7</v>
      </c>
      <c r="C178" s="1">
        <v>9768</v>
      </c>
      <c r="D178">
        <v>53.1</v>
      </c>
      <c r="E178">
        <v>84.19</v>
      </c>
      <c r="F178">
        <v>86.53</v>
      </c>
      <c r="G178">
        <v>64.06</v>
      </c>
      <c r="H178">
        <v>33.299999999999997</v>
      </c>
      <c r="I178">
        <v>7</v>
      </c>
      <c r="J178">
        <v>0.57999999999999996</v>
      </c>
      <c r="K178">
        <v>1.64</v>
      </c>
      <c r="L178">
        <v>26.9</v>
      </c>
    </row>
    <row r="179" spans="1:12" x14ac:dyDescent="0.25">
      <c r="A179">
        <v>2010</v>
      </c>
      <c r="B179" t="s">
        <v>8</v>
      </c>
      <c r="C179" s="1">
        <v>7442</v>
      </c>
      <c r="D179">
        <v>69.790000000000006</v>
      </c>
      <c r="E179">
        <v>105.57</v>
      </c>
      <c r="F179">
        <v>83.38</v>
      </c>
      <c r="G179">
        <v>58.68</v>
      </c>
      <c r="H179">
        <v>29.2</v>
      </c>
      <c r="I179">
        <v>7.34</v>
      </c>
      <c r="J179">
        <v>0.97</v>
      </c>
      <c r="K179">
        <v>1.77</v>
      </c>
      <c r="L179">
        <v>26.1</v>
      </c>
    </row>
    <row r="180" spans="1:12" x14ac:dyDescent="0.25">
      <c r="A180">
        <v>2010</v>
      </c>
      <c r="B180" t="s">
        <v>9</v>
      </c>
      <c r="C180" s="1">
        <v>12192</v>
      </c>
      <c r="D180">
        <v>54.51</v>
      </c>
      <c r="E180">
        <v>83.79</v>
      </c>
      <c r="F180">
        <v>84.43</v>
      </c>
      <c r="G180">
        <v>62.13</v>
      </c>
      <c r="H180">
        <v>29.97</v>
      </c>
      <c r="I180">
        <v>6.22</v>
      </c>
      <c r="J180">
        <v>0.42</v>
      </c>
      <c r="K180">
        <v>1.61</v>
      </c>
      <c r="L180">
        <v>26.7</v>
      </c>
    </row>
    <row r="181" spans="1:12" x14ac:dyDescent="0.25">
      <c r="A181">
        <v>2010</v>
      </c>
      <c r="B181" t="s">
        <v>10</v>
      </c>
      <c r="C181" s="1">
        <v>10039</v>
      </c>
      <c r="D181">
        <v>50.11</v>
      </c>
      <c r="E181">
        <v>78.77</v>
      </c>
      <c r="F181">
        <v>82.97</v>
      </c>
      <c r="G181">
        <v>60.95</v>
      </c>
      <c r="H181">
        <v>30.1</v>
      </c>
      <c r="I181">
        <v>6.68</v>
      </c>
      <c r="J181">
        <v>0.56999999999999995</v>
      </c>
      <c r="K181">
        <v>1.55</v>
      </c>
      <c r="L181">
        <v>26.9</v>
      </c>
    </row>
    <row r="182" spans="1:12" x14ac:dyDescent="0.25">
      <c r="A182">
        <v>2010</v>
      </c>
      <c r="B182" t="s">
        <v>11</v>
      </c>
      <c r="C182" s="1">
        <v>3982</v>
      </c>
      <c r="D182">
        <v>67.66</v>
      </c>
      <c r="E182">
        <v>106.27</v>
      </c>
      <c r="F182">
        <v>91.03</v>
      </c>
      <c r="G182">
        <v>64.150000000000006</v>
      </c>
      <c r="H182">
        <v>38.619999999999997</v>
      </c>
      <c r="I182">
        <v>9.5399999999999991</v>
      </c>
      <c r="J182">
        <v>0.97</v>
      </c>
      <c r="K182">
        <v>1.89</v>
      </c>
      <c r="L182">
        <v>26.6</v>
      </c>
    </row>
    <row r="183" spans="1:12" x14ac:dyDescent="0.25">
      <c r="A183">
        <v>2010</v>
      </c>
      <c r="B183" t="s">
        <v>12</v>
      </c>
      <c r="C183" s="1">
        <v>17035</v>
      </c>
      <c r="D183">
        <v>49.4</v>
      </c>
      <c r="E183">
        <v>75.790000000000006</v>
      </c>
      <c r="F183">
        <v>80.819999999999993</v>
      </c>
      <c r="G183">
        <v>64.92</v>
      </c>
      <c r="H183">
        <v>32.590000000000003</v>
      </c>
      <c r="I183">
        <v>7.67</v>
      </c>
      <c r="J183">
        <v>0.38</v>
      </c>
      <c r="K183">
        <v>1.56</v>
      </c>
      <c r="L183">
        <v>27.2</v>
      </c>
    </row>
    <row r="184" spans="1:12" x14ac:dyDescent="0.25">
      <c r="A184">
        <v>2010</v>
      </c>
      <c r="B184" t="s">
        <v>13</v>
      </c>
      <c r="C184" s="1">
        <v>24356</v>
      </c>
      <c r="D184">
        <v>56.04</v>
      </c>
      <c r="E184">
        <v>92.34</v>
      </c>
      <c r="F184">
        <v>86.8</v>
      </c>
      <c r="G184">
        <v>69.59</v>
      </c>
      <c r="H184">
        <v>37.92</v>
      </c>
      <c r="I184">
        <v>11.18</v>
      </c>
      <c r="J184">
        <v>0.45</v>
      </c>
      <c r="K184">
        <v>1.77</v>
      </c>
      <c r="L184">
        <v>27.2</v>
      </c>
    </row>
    <row r="185" spans="1:12" x14ac:dyDescent="0.25">
      <c r="A185">
        <v>2010</v>
      </c>
      <c r="B185" t="s">
        <v>14</v>
      </c>
      <c r="C185" s="1">
        <v>16868</v>
      </c>
      <c r="D185">
        <v>46.73</v>
      </c>
      <c r="E185">
        <v>74.23</v>
      </c>
      <c r="F185">
        <v>77.03</v>
      </c>
      <c r="G185">
        <v>58.38</v>
      </c>
      <c r="H185">
        <v>27.3</v>
      </c>
      <c r="I185">
        <v>5.36</v>
      </c>
      <c r="J185">
        <v>0.27</v>
      </c>
      <c r="K185">
        <v>1.45</v>
      </c>
      <c r="L185">
        <v>26.9</v>
      </c>
    </row>
    <row r="186" spans="1:12" x14ac:dyDescent="0.25">
      <c r="A186">
        <v>2010</v>
      </c>
      <c r="B186" t="s">
        <v>15</v>
      </c>
      <c r="C186" s="1">
        <v>32775</v>
      </c>
      <c r="D186">
        <v>53.44</v>
      </c>
      <c r="E186">
        <v>86.91</v>
      </c>
      <c r="F186">
        <v>86.24</v>
      </c>
      <c r="G186">
        <v>67.260000000000005</v>
      </c>
      <c r="H186">
        <v>34.659999999999997</v>
      </c>
      <c r="I186">
        <v>9.4700000000000006</v>
      </c>
      <c r="J186">
        <v>0.33</v>
      </c>
      <c r="K186">
        <v>1.69</v>
      </c>
      <c r="L186">
        <v>27.1</v>
      </c>
    </row>
    <row r="187" spans="1:12" x14ac:dyDescent="0.25">
      <c r="A187">
        <v>2010</v>
      </c>
      <c r="B187" t="s">
        <v>16</v>
      </c>
      <c r="C187" s="1">
        <v>32355</v>
      </c>
      <c r="D187">
        <v>53.51</v>
      </c>
      <c r="E187">
        <v>88.59</v>
      </c>
      <c r="F187">
        <v>85.12</v>
      </c>
      <c r="G187">
        <v>65.040000000000006</v>
      </c>
      <c r="H187">
        <v>32.630000000000003</v>
      </c>
      <c r="I187">
        <v>8.6999999999999993</v>
      </c>
      <c r="J187">
        <v>0.5</v>
      </c>
      <c r="K187">
        <v>1.67</v>
      </c>
      <c r="L187">
        <v>26.9</v>
      </c>
    </row>
    <row r="188" spans="1:12" x14ac:dyDescent="0.25">
      <c r="A188">
        <v>2010</v>
      </c>
      <c r="B188" t="s">
        <v>17</v>
      </c>
      <c r="C188" s="1">
        <v>310049</v>
      </c>
      <c r="D188">
        <v>53.21</v>
      </c>
      <c r="E188">
        <v>86.27</v>
      </c>
      <c r="F188">
        <v>84.43</v>
      </c>
      <c r="G188">
        <v>72.569999999999993</v>
      </c>
      <c r="H188">
        <v>43.02</v>
      </c>
      <c r="I188">
        <v>11.86</v>
      </c>
      <c r="J188">
        <v>0.72</v>
      </c>
      <c r="K188">
        <v>1.76</v>
      </c>
      <c r="L188">
        <v>27.6</v>
      </c>
    </row>
    <row r="189" spans="1:12" x14ac:dyDescent="0.25">
      <c r="A189">
        <v>2011</v>
      </c>
      <c r="B189" t="s">
        <v>1</v>
      </c>
      <c r="C189" s="1">
        <v>610492</v>
      </c>
      <c r="D189">
        <v>53.49</v>
      </c>
      <c r="E189">
        <v>83.75</v>
      </c>
      <c r="F189">
        <v>84.01</v>
      </c>
      <c r="G189">
        <v>71.77</v>
      </c>
      <c r="H189">
        <v>39.590000000000003</v>
      </c>
      <c r="I189">
        <v>9.9600000000000009</v>
      </c>
      <c r="J189">
        <v>0.6</v>
      </c>
      <c r="K189">
        <v>1.72</v>
      </c>
      <c r="L189">
        <v>27.4</v>
      </c>
    </row>
    <row r="190" spans="1:12" x14ac:dyDescent="0.25">
      <c r="A190">
        <v>2011</v>
      </c>
      <c r="B190" t="s">
        <v>2</v>
      </c>
      <c r="C190" s="1">
        <v>9347</v>
      </c>
      <c r="D190">
        <v>55.06</v>
      </c>
      <c r="E190">
        <v>83.34</v>
      </c>
      <c r="F190">
        <v>83.4</v>
      </c>
      <c r="G190">
        <v>66.16</v>
      </c>
      <c r="H190">
        <v>28.6</v>
      </c>
      <c r="I190">
        <v>5.91</v>
      </c>
      <c r="J190">
        <v>0.11</v>
      </c>
      <c r="K190">
        <v>1.61</v>
      </c>
      <c r="L190">
        <v>26.7</v>
      </c>
    </row>
    <row r="191" spans="1:12" x14ac:dyDescent="0.25">
      <c r="A191">
        <v>2011</v>
      </c>
      <c r="B191" t="s">
        <v>3</v>
      </c>
      <c r="C191" s="1">
        <v>5410</v>
      </c>
      <c r="D191">
        <v>56.69</v>
      </c>
      <c r="E191">
        <v>83.84</v>
      </c>
      <c r="F191">
        <v>77.7</v>
      </c>
      <c r="G191">
        <v>60.43</v>
      </c>
      <c r="H191">
        <v>25.96</v>
      </c>
      <c r="I191">
        <v>6.79</v>
      </c>
      <c r="J191">
        <v>0.41</v>
      </c>
      <c r="K191">
        <v>1.56</v>
      </c>
      <c r="L191">
        <v>26.5</v>
      </c>
    </row>
    <row r="192" spans="1:12" x14ac:dyDescent="0.25">
      <c r="A192">
        <v>2011</v>
      </c>
      <c r="B192" t="s">
        <v>4</v>
      </c>
      <c r="C192" s="1">
        <v>14012</v>
      </c>
      <c r="D192">
        <v>53.54</v>
      </c>
      <c r="E192">
        <v>83.03</v>
      </c>
      <c r="F192">
        <v>81.16</v>
      </c>
      <c r="G192">
        <v>67.42</v>
      </c>
      <c r="H192">
        <v>33.74</v>
      </c>
      <c r="I192">
        <v>6.98</v>
      </c>
      <c r="J192">
        <v>0.16</v>
      </c>
      <c r="K192">
        <v>1.63</v>
      </c>
      <c r="L192">
        <v>27</v>
      </c>
    </row>
    <row r="193" spans="1:12" x14ac:dyDescent="0.25">
      <c r="A193">
        <v>2011</v>
      </c>
      <c r="B193" t="s">
        <v>5</v>
      </c>
      <c r="C193" s="1">
        <v>85485</v>
      </c>
      <c r="D193">
        <v>47.15</v>
      </c>
      <c r="E193">
        <v>77.36</v>
      </c>
      <c r="F193">
        <v>80.790000000000006</v>
      </c>
      <c r="G193">
        <v>68.31</v>
      </c>
      <c r="H193">
        <v>35.72</v>
      </c>
      <c r="I193">
        <v>8.34</v>
      </c>
      <c r="J193">
        <v>0.56999999999999995</v>
      </c>
      <c r="K193">
        <v>1.59</v>
      </c>
      <c r="L193">
        <v>27.4</v>
      </c>
    </row>
    <row r="194" spans="1:12" x14ac:dyDescent="0.25">
      <c r="A194">
        <v>2011</v>
      </c>
      <c r="B194" t="s">
        <v>6</v>
      </c>
      <c r="C194" s="1">
        <v>12130</v>
      </c>
      <c r="D194">
        <v>47.03</v>
      </c>
      <c r="E194">
        <v>75.2</v>
      </c>
      <c r="F194">
        <v>75.91</v>
      </c>
      <c r="G194">
        <v>65.03</v>
      </c>
      <c r="H194">
        <v>32.57</v>
      </c>
      <c r="I194">
        <v>7.11</v>
      </c>
      <c r="J194">
        <v>0.26</v>
      </c>
      <c r="K194">
        <v>1.52</v>
      </c>
      <c r="L194">
        <v>27.2</v>
      </c>
    </row>
    <row r="195" spans="1:12" x14ac:dyDescent="0.25">
      <c r="A195">
        <v>2011</v>
      </c>
      <c r="B195" t="s">
        <v>7</v>
      </c>
      <c r="C195" s="1">
        <v>9335</v>
      </c>
      <c r="D195">
        <v>48.29</v>
      </c>
      <c r="E195">
        <v>78.63</v>
      </c>
      <c r="F195">
        <v>81.64</v>
      </c>
      <c r="G195">
        <v>65.290000000000006</v>
      </c>
      <c r="H195">
        <v>33.94</v>
      </c>
      <c r="I195">
        <v>7.93</v>
      </c>
      <c r="J195">
        <v>0.56999999999999995</v>
      </c>
      <c r="K195">
        <v>1.58</v>
      </c>
      <c r="L195">
        <v>27.2</v>
      </c>
    </row>
    <row r="196" spans="1:12" x14ac:dyDescent="0.25">
      <c r="A196">
        <v>2011</v>
      </c>
      <c r="B196" t="s">
        <v>8</v>
      </c>
      <c r="C196" s="1">
        <v>7554</v>
      </c>
      <c r="D196">
        <v>71.59</v>
      </c>
      <c r="E196">
        <v>103.68</v>
      </c>
      <c r="F196">
        <v>89.35</v>
      </c>
      <c r="G196">
        <v>59.54</v>
      </c>
      <c r="H196">
        <v>29.54</v>
      </c>
      <c r="I196">
        <v>8.36</v>
      </c>
      <c r="J196">
        <v>0.72</v>
      </c>
      <c r="K196">
        <v>1.81</v>
      </c>
      <c r="L196">
        <v>26.1</v>
      </c>
    </row>
    <row r="197" spans="1:12" x14ac:dyDescent="0.25">
      <c r="A197">
        <v>2011</v>
      </c>
      <c r="B197" t="s">
        <v>9</v>
      </c>
      <c r="C197" s="1">
        <v>12222</v>
      </c>
      <c r="D197">
        <v>55.27</v>
      </c>
      <c r="E197">
        <v>82.86</v>
      </c>
      <c r="F197">
        <v>82.19</v>
      </c>
      <c r="G197">
        <v>65.61</v>
      </c>
      <c r="H197">
        <v>32.72</v>
      </c>
      <c r="I197">
        <v>6.46</v>
      </c>
      <c r="J197">
        <v>0.27</v>
      </c>
      <c r="K197">
        <v>1.63</v>
      </c>
      <c r="L197">
        <v>26.9</v>
      </c>
    </row>
    <row r="198" spans="1:12" x14ac:dyDescent="0.25">
      <c r="A198">
        <v>2011</v>
      </c>
      <c r="B198" t="s">
        <v>10</v>
      </c>
      <c r="C198" s="1">
        <v>10197</v>
      </c>
      <c r="D198">
        <v>52.17</v>
      </c>
      <c r="E198">
        <v>80.2</v>
      </c>
      <c r="F198">
        <v>82.45</v>
      </c>
      <c r="G198">
        <v>64.44</v>
      </c>
      <c r="H198">
        <v>30.22</v>
      </c>
      <c r="I198">
        <v>7.8</v>
      </c>
      <c r="J198">
        <v>0.43</v>
      </c>
      <c r="K198">
        <v>1.59</v>
      </c>
      <c r="L198">
        <v>27</v>
      </c>
    </row>
    <row r="199" spans="1:12" x14ac:dyDescent="0.25">
      <c r="A199">
        <v>2011</v>
      </c>
      <c r="B199" t="s">
        <v>11</v>
      </c>
      <c r="C199" s="1">
        <v>4092</v>
      </c>
      <c r="D199">
        <v>70.540000000000006</v>
      </c>
      <c r="E199">
        <v>112.97</v>
      </c>
      <c r="F199">
        <v>90.05</v>
      </c>
      <c r="G199">
        <v>67.39</v>
      </c>
      <c r="H199">
        <v>40.159999999999997</v>
      </c>
      <c r="I199">
        <v>8.9</v>
      </c>
      <c r="J199">
        <v>0.6</v>
      </c>
      <c r="K199">
        <v>1.95</v>
      </c>
      <c r="L199">
        <v>26.5</v>
      </c>
    </row>
    <row r="200" spans="1:12" x14ac:dyDescent="0.25">
      <c r="A200">
        <v>2011</v>
      </c>
      <c r="B200" t="s">
        <v>12</v>
      </c>
      <c r="C200" s="1">
        <v>17360</v>
      </c>
      <c r="D200">
        <v>49.1</v>
      </c>
      <c r="E200">
        <v>76.39</v>
      </c>
      <c r="F200">
        <v>79.260000000000005</v>
      </c>
      <c r="G200">
        <v>69.55</v>
      </c>
      <c r="H200">
        <v>35.14</v>
      </c>
      <c r="I200">
        <v>7.74</v>
      </c>
      <c r="J200">
        <v>0.44</v>
      </c>
      <c r="K200">
        <v>1.59</v>
      </c>
      <c r="L200">
        <v>27.3</v>
      </c>
    </row>
    <row r="201" spans="1:12" x14ac:dyDescent="0.25">
      <c r="A201">
        <v>2011</v>
      </c>
      <c r="B201" t="s">
        <v>13</v>
      </c>
      <c r="C201" s="1">
        <v>25193</v>
      </c>
      <c r="D201">
        <v>58.95</v>
      </c>
      <c r="E201">
        <v>92.71</v>
      </c>
      <c r="F201">
        <v>88.76</v>
      </c>
      <c r="G201">
        <v>74.22</v>
      </c>
      <c r="H201">
        <v>41.24</v>
      </c>
      <c r="I201">
        <v>10.67</v>
      </c>
      <c r="J201">
        <v>0.83</v>
      </c>
      <c r="K201">
        <v>1.84</v>
      </c>
      <c r="L201">
        <v>27.2</v>
      </c>
    </row>
    <row r="202" spans="1:12" x14ac:dyDescent="0.25">
      <c r="A202">
        <v>2011</v>
      </c>
      <c r="B202" t="s">
        <v>14</v>
      </c>
      <c r="C202" s="1">
        <v>17322</v>
      </c>
      <c r="D202">
        <v>49</v>
      </c>
      <c r="E202">
        <v>74.45</v>
      </c>
      <c r="F202">
        <v>77.709999999999994</v>
      </c>
      <c r="G202">
        <v>61.7</v>
      </c>
      <c r="H202">
        <v>28.24</v>
      </c>
      <c r="I202">
        <v>6.5</v>
      </c>
      <c r="J202">
        <v>0.23</v>
      </c>
      <c r="K202">
        <v>1.49</v>
      </c>
      <c r="L202">
        <v>26.9</v>
      </c>
    </row>
    <row r="203" spans="1:12" x14ac:dyDescent="0.25">
      <c r="A203">
        <v>2011</v>
      </c>
      <c r="B203" t="s">
        <v>15</v>
      </c>
      <c r="C203" s="1">
        <v>33311</v>
      </c>
      <c r="D203">
        <v>52.77</v>
      </c>
      <c r="E203">
        <v>86.68</v>
      </c>
      <c r="F203">
        <v>86.32</v>
      </c>
      <c r="G203">
        <v>72.14</v>
      </c>
      <c r="H203">
        <v>37.07</v>
      </c>
      <c r="I203">
        <v>8.6199999999999992</v>
      </c>
      <c r="J203">
        <v>0.53</v>
      </c>
      <c r="K203">
        <v>1.72</v>
      </c>
      <c r="L203">
        <v>27.2</v>
      </c>
    </row>
    <row r="204" spans="1:12" x14ac:dyDescent="0.25">
      <c r="A204">
        <v>2011</v>
      </c>
      <c r="B204" t="s">
        <v>16</v>
      </c>
      <c r="C204" s="1">
        <v>32843</v>
      </c>
      <c r="D204">
        <v>54.47</v>
      </c>
      <c r="E204">
        <v>87.18</v>
      </c>
      <c r="F204">
        <v>84.69</v>
      </c>
      <c r="G204">
        <v>67.42</v>
      </c>
      <c r="H204">
        <v>34.880000000000003</v>
      </c>
      <c r="I204">
        <v>9.3699999999999992</v>
      </c>
      <c r="J204">
        <v>0.53</v>
      </c>
      <c r="K204">
        <v>1.69</v>
      </c>
      <c r="L204">
        <v>27.1</v>
      </c>
    </row>
    <row r="205" spans="1:12" x14ac:dyDescent="0.25">
      <c r="A205">
        <v>2011</v>
      </c>
      <c r="B205" t="s">
        <v>17</v>
      </c>
      <c r="C205" s="1">
        <v>314668</v>
      </c>
      <c r="D205">
        <v>55.16</v>
      </c>
      <c r="E205">
        <v>85.44</v>
      </c>
      <c r="F205">
        <v>85.65</v>
      </c>
      <c r="G205">
        <v>75.75</v>
      </c>
      <c r="H205">
        <v>44.72</v>
      </c>
      <c r="I205">
        <v>11.88</v>
      </c>
      <c r="J205">
        <v>0.73</v>
      </c>
      <c r="K205">
        <v>1.8</v>
      </c>
      <c r="L205">
        <v>27.6</v>
      </c>
    </row>
    <row r="206" spans="1:12" x14ac:dyDescent="0.25">
      <c r="A206">
        <v>2012</v>
      </c>
      <c r="B206" t="s">
        <v>1</v>
      </c>
      <c r="C206" s="1">
        <v>617084</v>
      </c>
      <c r="D206">
        <v>54.95</v>
      </c>
      <c r="E206">
        <v>83.07</v>
      </c>
      <c r="F206">
        <v>84.08</v>
      </c>
      <c r="G206">
        <v>74.81</v>
      </c>
      <c r="H206">
        <v>40.39</v>
      </c>
      <c r="I206">
        <v>10.17</v>
      </c>
      <c r="J206">
        <v>0.57999999999999996</v>
      </c>
      <c r="K206">
        <v>1.74</v>
      </c>
      <c r="L206">
        <v>27.4</v>
      </c>
    </row>
    <row r="207" spans="1:12" x14ac:dyDescent="0.25">
      <c r="A207">
        <v>2012</v>
      </c>
      <c r="B207" t="s">
        <v>2</v>
      </c>
      <c r="C207" s="1">
        <v>9433</v>
      </c>
      <c r="D207">
        <v>55.77</v>
      </c>
      <c r="E207">
        <v>81.52</v>
      </c>
      <c r="F207">
        <v>85.34</v>
      </c>
      <c r="G207">
        <v>67.099999999999994</v>
      </c>
      <c r="H207">
        <v>31.31</v>
      </c>
      <c r="I207">
        <v>6.69</v>
      </c>
      <c r="J207">
        <v>0.36</v>
      </c>
      <c r="K207">
        <v>1.64</v>
      </c>
      <c r="L207">
        <v>26.9</v>
      </c>
    </row>
    <row r="208" spans="1:12" x14ac:dyDescent="0.25">
      <c r="A208">
        <v>2012</v>
      </c>
      <c r="B208" t="s">
        <v>3</v>
      </c>
      <c r="C208" s="1">
        <v>5436</v>
      </c>
      <c r="D208">
        <v>54.72</v>
      </c>
      <c r="E208">
        <v>82.07</v>
      </c>
      <c r="F208">
        <v>81.739999999999995</v>
      </c>
      <c r="G208">
        <v>63.27</v>
      </c>
      <c r="H208">
        <v>27.78</v>
      </c>
      <c r="I208">
        <v>5.99</v>
      </c>
      <c r="J208">
        <v>0.2</v>
      </c>
      <c r="K208">
        <v>1.58</v>
      </c>
      <c r="L208">
        <v>26.6</v>
      </c>
    </row>
    <row r="209" spans="1:12" x14ac:dyDescent="0.25">
      <c r="A209">
        <v>2012</v>
      </c>
      <c r="B209" t="s">
        <v>4</v>
      </c>
      <c r="C209" s="1">
        <v>14080</v>
      </c>
      <c r="D209">
        <v>56.78</v>
      </c>
      <c r="E209">
        <v>80.91</v>
      </c>
      <c r="F209">
        <v>80.89</v>
      </c>
      <c r="G209">
        <v>70.03</v>
      </c>
      <c r="H209">
        <v>33.31</v>
      </c>
      <c r="I209">
        <v>7.29</v>
      </c>
      <c r="J209">
        <v>0.24</v>
      </c>
      <c r="K209">
        <v>1.65</v>
      </c>
      <c r="L209">
        <v>27</v>
      </c>
    </row>
    <row r="210" spans="1:12" x14ac:dyDescent="0.25">
      <c r="A210">
        <v>2012</v>
      </c>
      <c r="B210" t="s">
        <v>5</v>
      </c>
      <c r="C210" s="1">
        <v>87684</v>
      </c>
      <c r="D210">
        <v>48.55</v>
      </c>
      <c r="E210">
        <v>77.900000000000006</v>
      </c>
      <c r="F210">
        <v>81.64</v>
      </c>
      <c r="G210">
        <v>72.55</v>
      </c>
      <c r="H210">
        <v>37.14</v>
      </c>
      <c r="I210">
        <v>8.44</v>
      </c>
      <c r="J210">
        <v>0.38</v>
      </c>
      <c r="K210">
        <v>1.63</v>
      </c>
      <c r="L210">
        <v>27.5</v>
      </c>
    </row>
    <row r="211" spans="1:12" x14ac:dyDescent="0.25">
      <c r="A211">
        <v>2012</v>
      </c>
      <c r="B211" t="s">
        <v>6</v>
      </c>
      <c r="C211" s="1">
        <v>12685</v>
      </c>
      <c r="D211">
        <v>50.4</v>
      </c>
      <c r="E211">
        <v>76.709999999999994</v>
      </c>
      <c r="F211">
        <v>79.05</v>
      </c>
      <c r="G211">
        <v>70.010000000000005</v>
      </c>
      <c r="H211">
        <v>35.29</v>
      </c>
      <c r="I211">
        <v>6.72</v>
      </c>
      <c r="J211">
        <v>0.4</v>
      </c>
      <c r="K211">
        <v>1.59</v>
      </c>
      <c r="L211">
        <v>27.3</v>
      </c>
    </row>
    <row r="212" spans="1:12" x14ac:dyDescent="0.25">
      <c r="A212">
        <v>2012</v>
      </c>
      <c r="B212" t="s">
        <v>7</v>
      </c>
      <c r="C212" s="1">
        <v>9583</v>
      </c>
      <c r="D212">
        <v>47.63</v>
      </c>
      <c r="E212">
        <v>81.150000000000006</v>
      </c>
      <c r="F212">
        <v>81.14</v>
      </c>
      <c r="G212">
        <v>72.739999999999995</v>
      </c>
      <c r="H212">
        <v>33.31</v>
      </c>
      <c r="I212">
        <v>9.59</v>
      </c>
      <c r="J212">
        <v>0.53</v>
      </c>
      <c r="K212">
        <v>1.63</v>
      </c>
      <c r="L212">
        <v>27.4</v>
      </c>
    </row>
    <row r="213" spans="1:12" x14ac:dyDescent="0.25">
      <c r="A213">
        <v>2012</v>
      </c>
      <c r="B213" t="s">
        <v>8</v>
      </c>
      <c r="C213" s="1">
        <v>7495</v>
      </c>
      <c r="D213">
        <v>69.7</v>
      </c>
      <c r="E213">
        <v>100.26</v>
      </c>
      <c r="F213">
        <v>87.35</v>
      </c>
      <c r="G213">
        <v>65.61</v>
      </c>
      <c r="H213">
        <v>28.83</v>
      </c>
      <c r="I213">
        <v>8.1199999999999992</v>
      </c>
      <c r="J213">
        <v>0.36</v>
      </c>
      <c r="K213">
        <v>1.8</v>
      </c>
      <c r="L213">
        <v>26.2</v>
      </c>
    </row>
    <row r="214" spans="1:12" x14ac:dyDescent="0.25">
      <c r="A214">
        <v>2012</v>
      </c>
      <c r="B214" t="s">
        <v>9</v>
      </c>
      <c r="C214" s="1">
        <v>12339</v>
      </c>
      <c r="D214">
        <v>57.01</v>
      </c>
      <c r="E214">
        <v>82.76</v>
      </c>
      <c r="F214">
        <v>83.25</v>
      </c>
      <c r="G214">
        <v>68.98</v>
      </c>
      <c r="H214">
        <v>32.090000000000003</v>
      </c>
      <c r="I214">
        <v>6.3</v>
      </c>
      <c r="J214">
        <v>0.41</v>
      </c>
      <c r="K214">
        <v>1.65</v>
      </c>
      <c r="L214">
        <v>26.8</v>
      </c>
    </row>
    <row r="215" spans="1:12" x14ac:dyDescent="0.25">
      <c r="A215">
        <v>2012</v>
      </c>
      <c r="B215" t="s">
        <v>10</v>
      </c>
      <c r="C215" s="1">
        <v>10257</v>
      </c>
      <c r="D215">
        <v>52.67</v>
      </c>
      <c r="E215">
        <v>79.209999999999994</v>
      </c>
      <c r="F215">
        <v>82.71</v>
      </c>
      <c r="G215">
        <v>68.510000000000005</v>
      </c>
      <c r="H215">
        <v>31.36</v>
      </c>
      <c r="I215">
        <v>7.48</v>
      </c>
      <c r="J215">
        <v>0.53</v>
      </c>
      <c r="K215">
        <v>1.61</v>
      </c>
      <c r="L215">
        <v>27.1</v>
      </c>
    </row>
    <row r="216" spans="1:12" x14ac:dyDescent="0.25">
      <c r="A216">
        <v>2012</v>
      </c>
      <c r="B216" t="s">
        <v>11</v>
      </c>
      <c r="C216" s="1">
        <v>3988</v>
      </c>
      <c r="D216">
        <v>69.11</v>
      </c>
      <c r="E216">
        <v>106.55</v>
      </c>
      <c r="F216">
        <v>89.56</v>
      </c>
      <c r="G216">
        <v>67.37</v>
      </c>
      <c r="H216">
        <v>41.26</v>
      </c>
      <c r="I216">
        <v>9.83</v>
      </c>
      <c r="J216">
        <v>0.71</v>
      </c>
      <c r="K216">
        <v>1.92</v>
      </c>
      <c r="L216">
        <v>26.7</v>
      </c>
    </row>
    <row r="217" spans="1:12" x14ac:dyDescent="0.25">
      <c r="A217">
        <v>2012</v>
      </c>
      <c r="B217" t="s">
        <v>12</v>
      </c>
      <c r="C217" s="1">
        <v>17189</v>
      </c>
      <c r="D217">
        <v>49.58</v>
      </c>
      <c r="E217">
        <v>72.28</v>
      </c>
      <c r="F217">
        <v>77.8</v>
      </c>
      <c r="G217">
        <v>70.5</v>
      </c>
      <c r="H217">
        <v>35.97</v>
      </c>
      <c r="I217">
        <v>8.31</v>
      </c>
      <c r="J217">
        <v>0.39</v>
      </c>
      <c r="K217">
        <v>1.57</v>
      </c>
      <c r="L217">
        <v>27.5</v>
      </c>
    </row>
    <row r="218" spans="1:12" x14ac:dyDescent="0.25">
      <c r="A218">
        <v>2012</v>
      </c>
      <c r="B218" t="s">
        <v>13</v>
      </c>
      <c r="C218" s="1">
        <v>25819</v>
      </c>
      <c r="D218">
        <v>62.16</v>
      </c>
      <c r="E218">
        <v>92.12</v>
      </c>
      <c r="F218">
        <v>91.36</v>
      </c>
      <c r="G218">
        <v>76.94</v>
      </c>
      <c r="H218">
        <v>43.67</v>
      </c>
      <c r="I218">
        <v>10.31</v>
      </c>
      <c r="J218">
        <v>0.6</v>
      </c>
      <c r="K218">
        <v>1.89</v>
      </c>
      <c r="L218">
        <v>27.3</v>
      </c>
    </row>
    <row r="219" spans="1:12" x14ac:dyDescent="0.25">
      <c r="A219">
        <v>2012</v>
      </c>
      <c r="B219" t="s">
        <v>14</v>
      </c>
      <c r="C219" s="1">
        <v>17731</v>
      </c>
      <c r="D219">
        <v>46.91</v>
      </c>
      <c r="E219">
        <v>75.31</v>
      </c>
      <c r="F219">
        <v>78.790000000000006</v>
      </c>
      <c r="G219">
        <v>65.87</v>
      </c>
      <c r="H219">
        <v>31.57</v>
      </c>
      <c r="I219">
        <v>5.84</v>
      </c>
      <c r="J219">
        <v>0.3</v>
      </c>
      <c r="K219">
        <v>1.52</v>
      </c>
      <c r="L219">
        <v>27.1</v>
      </c>
    </row>
    <row r="220" spans="1:12" x14ac:dyDescent="0.25">
      <c r="A220">
        <v>2012</v>
      </c>
      <c r="B220" t="s">
        <v>15</v>
      </c>
      <c r="C220" s="1">
        <v>33304</v>
      </c>
      <c r="D220">
        <v>53.71</v>
      </c>
      <c r="E220">
        <v>85.91</v>
      </c>
      <c r="F220">
        <v>86.04</v>
      </c>
      <c r="G220">
        <v>73.599999999999994</v>
      </c>
      <c r="H220">
        <v>36.79</v>
      </c>
      <c r="I220">
        <v>8.92</v>
      </c>
      <c r="J220">
        <v>0.45</v>
      </c>
      <c r="K220">
        <v>1.73</v>
      </c>
      <c r="L220">
        <v>27.2</v>
      </c>
    </row>
    <row r="221" spans="1:12" x14ac:dyDescent="0.25">
      <c r="A221">
        <v>2012</v>
      </c>
      <c r="B221" t="s">
        <v>16</v>
      </c>
      <c r="C221" s="1">
        <v>33955</v>
      </c>
      <c r="D221">
        <v>54.98</v>
      </c>
      <c r="E221">
        <v>88.23</v>
      </c>
      <c r="F221">
        <v>86.41</v>
      </c>
      <c r="G221">
        <v>72.94</v>
      </c>
      <c r="H221">
        <v>36.590000000000003</v>
      </c>
      <c r="I221">
        <v>8.98</v>
      </c>
      <c r="J221">
        <v>0.51</v>
      </c>
      <c r="K221">
        <v>1.74</v>
      </c>
      <c r="L221">
        <v>27.2</v>
      </c>
    </row>
    <row r="222" spans="1:12" x14ac:dyDescent="0.25">
      <c r="A222">
        <v>2012</v>
      </c>
      <c r="B222" t="s">
        <v>17</v>
      </c>
      <c r="C222" s="1">
        <v>316053</v>
      </c>
      <c r="D222">
        <v>57.15</v>
      </c>
      <c r="E222">
        <v>84.33</v>
      </c>
      <c r="F222">
        <v>84.97</v>
      </c>
      <c r="G222">
        <v>78.22</v>
      </c>
      <c r="H222">
        <v>45.09</v>
      </c>
      <c r="I222">
        <v>12.27</v>
      </c>
      <c r="J222">
        <v>0.75</v>
      </c>
      <c r="K222">
        <v>1.81</v>
      </c>
      <c r="L222">
        <v>27.6</v>
      </c>
    </row>
    <row r="223" spans="1:12" x14ac:dyDescent="0.25">
      <c r="A223">
        <v>2013</v>
      </c>
      <c r="B223" t="s">
        <v>1</v>
      </c>
      <c r="C223" s="1">
        <v>611300</v>
      </c>
      <c r="D223">
        <v>55.36</v>
      </c>
      <c r="E223">
        <v>80.819999999999993</v>
      </c>
      <c r="F223">
        <v>82.46</v>
      </c>
      <c r="G223">
        <v>76.260000000000005</v>
      </c>
      <c r="H223">
        <v>40.79</v>
      </c>
      <c r="I223">
        <v>10.11</v>
      </c>
      <c r="J223">
        <v>0.63</v>
      </c>
      <c r="K223">
        <v>1.73</v>
      </c>
      <c r="L223">
        <v>27.5</v>
      </c>
    </row>
    <row r="224" spans="1:12" x14ac:dyDescent="0.25">
      <c r="A224">
        <v>2013</v>
      </c>
      <c r="B224" t="s">
        <v>2</v>
      </c>
      <c r="C224" s="1">
        <v>9463</v>
      </c>
      <c r="D224">
        <v>57.04</v>
      </c>
      <c r="E224">
        <v>84.65</v>
      </c>
      <c r="F224">
        <v>83.07</v>
      </c>
      <c r="G224">
        <v>69.510000000000005</v>
      </c>
      <c r="H224">
        <v>29.89</v>
      </c>
      <c r="I224">
        <v>7.18</v>
      </c>
      <c r="J224">
        <v>0.43</v>
      </c>
      <c r="K224">
        <v>1.66</v>
      </c>
      <c r="L224">
        <v>26.8</v>
      </c>
    </row>
    <row r="225" spans="1:12" x14ac:dyDescent="0.25">
      <c r="A225">
        <v>2013</v>
      </c>
      <c r="B225" t="s">
        <v>3</v>
      </c>
      <c r="C225" s="1">
        <v>5269</v>
      </c>
      <c r="D225">
        <v>56.72</v>
      </c>
      <c r="E225">
        <v>78.27</v>
      </c>
      <c r="F225">
        <v>76.819999999999993</v>
      </c>
      <c r="G225">
        <v>62.88</v>
      </c>
      <c r="H225">
        <v>27.54</v>
      </c>
      <c r="I225">
        <v>5.71</v>
      </c>
      <c r="J225">
        <v>7.0000000000000007E-2</v>
      </c>
      <c r="K225">
        <v>1.54</v>
      </c>
      <c r="L225">
        <v>26.6</v>
      </c>
    </row>
    <row r="226" spans="1:12" x14ac:dyDescent="0.25">
      <c r="A226">
        <v>2013</v>
      </c>
      <c r="B226" t="s">
        <v>4</v>
      </c>
      <c r="C226" s="1">
        <v>14032</v>
      </c>
      <c r="D226">
        <v>56.14</v>
      </c>
      <c r="E226">
        <v>80.48</v>
      </c>
      <c r="F226">
        <v>81.400000000000006</v>
      </c>
      <c r="G226">
        <v>70.77</v>
      </c>
      <c r="H226">
        <v>32.97</v>
      </c>
      <c r="I226">
        <v>8.6199999999999992</v>
      </c>
      <c r="J226">
        <v>0.26</v>
      </c>
      <c r="K226">
        <v>1.65</v>
      </c>
      <c r="L226">
        <v>27.1</v>
      </c>
    </row>
    <row r="227" spans="1:12" x14ac:dyDescent="0.25">
      <c r="A227">
        <v>2013</v>
      </c>
      <c r="B227" t="s">
        <v>5</v>
      </c>
      <c r="C227" s="1">
        <v>87812</v>
      </c>
      <c r="D227">
        <v>50.13</v>
      </c>
      <c r="E227">
        <v>75.2</v>
      </c>
      <c r="F227">
        <v>80.64</v>
      </c>
      <c r="G227">
        <v>74.81</v>
      </c>
      <c r="H227">
        <v>37.67</v>
      </c>
      <c r="I227">
        <v>8.77</v>
      </c>
      <c r="J227">
        <v>0.49</v>
      </c>
      <c r="K227">
        <v>1.64</v>
      </c>
      <c r="L227">
        <v>27.5</v>
      </c>
    </row>
    <row r="228" spans="1:12" x14ac:dyDescent="0.25">
      <c r="A228">
        <v>2013</v>
      </c>
      <c r="B228" t="s">
        <v>6</v>
      </c>
      <c r="C228" s="1">
        <v>12567</v>
      </c>
      <c r="D228">
        <v>49.9</v>
      </c>
      <c r="E228">
        <v>74.2</v>
      </c>
      <c r="F228">
        <v>80.17</v>
      </c>
      <c r="G228">
        <v>70.650000000000006</v>
      </c>
      <c r="H228">
        <v>34.51</v>
      </c>
      <c r="I228">
        <v>7.4</v>
      </c>
      <c r="J228">
        <v>0.46</v>
      </c>
      <c r="K228">
        <v>1.59</v>
      </c>
      <c r="L228">
        <v>27.3</v>
      </c>
    </row>
    <row r="229" spans="1:12" x14ac:dyDescent="0.25">
      <c r="A229">
        <v>2013</v>
      </c>
      <c r="B229" t="s">
        <v>7</v>
      </c>
      <c r="C229" s="1">
        <v>9585</v>
      </c>
      <c r="D229">
        <v>52.27</v>
      </c>
      <c r="E229">
        <v>77.8</v>
      </c>
      <c r="F229">
        <v>81.58</v>
      </c>
      <c r="G229">
        <v>72.36</v>
      </c>
      <c r="H229">
        <v>35.270000000000003</v>
      </c>
      <c r="I229">
        <v>7.69</v>
      </c>
      <c r="J229">
        <v>0.48</v>
      </c>
      <c r="K229">
        <v>1.64</v>
      </c>
      <c r="L229">
        <v>27.3</v>
      </c>
    </row>
    <row r="230" spans="1:12" x14ac:dyDescent="0.25">
      <c r="A230">
        <v>2013</v>
      </c>
      <c r="B230" t="s">
        <v>8</v>
      </c>
      <c r="C230" s="1">
        <v>7440</v>
      </c>
      <c r="D230">
        <v>71.13</v>
      </c>
      <c r="E230">
        <v>97.57</v>
      </c>
      <c r="F230">
        <v>88.74</v>
      </c>
      <c r="G230">
        <v>64.290000000000006</v>
      </c>
      <c r="H230">
        <v>31.4</v>
      </c>
      <c r="I230">
        <v>7.84</v>
      </c>
      <c r="J230">
        <v>0.41</v>
      </c>
      <c r="K230">
        <v>1.81</v>
      </c>
      <c r="L230">
        <v>26.3</v>
      </c>
    </row>
    <row r="231" spans="1:12" x14ac:dyDescent="0.25">
      <c r="A231">
        <v>2013</v>
      </c>
      <c r="B231" t="s">
        <v>9</v>
      </c>
      <c r="C231" s="1">
        <v>12086</v>
      </c>
      <c r="D231">
        <v>55.79</v>
      </c>
      <c r="E231">
        <v>74.69</v>
      </c>
      <c r="F231">
        <v>84.31</v>
      </c>
      <c r="G231">
        <v>69.05</v>
      </c>
      <c r="H231">
        <v>34.840000000000003</v>
      </c>
      <c r="I231">
        <v>7.96</v>
      </c>
      <c r="J231">
        <v>0.23</v>
      </c>
      <c r="K231">
        <v>1.63</v>
      </c>
      <c r="L231">
        <v>27.2</v>
      </c>
    </row>
    <row r="232" spans="1:12" x14ac:dyDescent="0.25">
      <c r="A232">
        <v>2013</v>
      </c>
      <c r="B232" t="s">
        <v>10</v>
      </c>
      <c r="C232" s="1">
        <v>10239</v>
      </c>
      <c r="D232">
        <v>52.92</v>
      </c>
      <c r="E232">
        <v>78.75</v>
      </c>
      <c r="F232">
        <v>82.03</v>
      </c>
      <c r="G232">
        <v>72.28</v>
      </c>
      <c r="H232">
        <v>32.08</v>
      </c>
      <c r="I232">
        <v>6.45</v>
      </c>
      <c r="J232">
        <v>0.46</v>
      </c>
      <c r="K232">
        <v>1.62</v>
      </c>
      <c r="L232">
        <v>27.1</v>
      </c>
    </row>
    <row r="233" spans="1:12" x14ac:dyDescent="0.25">
      <c r="A233">
        <v>2013</v>
      </c>
      <c r="B233" t="s">
        <v>11</v>
      </c>
      <c r="C233" s="1">
        <v>3921</v>
      </c>
      <c r="D233">
        <v>69.08</v>
      </c>
      <c r="E233">
        <v>101.71</v>
      </c>
      <c r="F233">
        <v>90.7</v>
      </c>
      <c r="G233">
        <v>67.03</v>
      </c>
      <c r="H233">
        <v>39.909999999999997</v>
      </c>
      <c r="I233">
        <v>9.9700000000000006</v>
      </c>
      <c r="J233">
        <v>0.57999999999999996</v>
      </c>
      <c r="K233">
        <v>1.89</v>
      </c>
      <c r="L233">
        <v>26.7</v>
      </c>
    </row>
    <row r="234" spans="1:12" x14ac:dyDescent="0.25">
      <c r="A234">
        <v>2013</v>
      </c>
      <c r="B234" t="s">
        <v>12</v>
      </c>
      <c r="C234" s="1">
        <v>17070</v>
      </c>
      <c r="D234">
        <v>51.29</v>
      </c>
      <c r="E234">
        <v>69.819999999999993</v>
      </c>
      <c r="F234">
        <v>75.34</v>
      </c>
      <c r="G234">
        <v>72.34</v>
      </c>
      <c r="H234">
        <v>35.770000000000003</v>
      </c>
      <c r="I234">
        <v>7.9</v>
      </c>
      <c r="J234">
        <v>0.41</v>
      </c>
      <c r="K234">
        <v>1.56</v>
      </c>
      <c r="L234">
        <v>27.4</v>
      </c>
    </row>
    <row r="235" spans="1:12" x14ac:dyDescent="0.25">
      <c r="A235">
        <v>2013</v>
      </c>
      <c r="B235" t="s">
        <v>13</v>
      </c>
      <c r="C235" s="1">
        <v>24983</v>
      </c>
      <c r="D235">
        <v>59.65</v>
      </c>
      <c r="E235">
        <v>90.37</v>
      </c>
      <c r="F235">
        <v>85.43</v>
      </c>
      <c r="G235">
        <v>77.569999999999993</v>
      </c>
      <c r="H235">
        <v>42.47</v>
      </c>
      <c r="I235">
        <v>10.59</v>
      </c>
      <c r="J235">
        <v>0.74</v>
      </c>
      <c r="K235">
        <v>1.83</v>
      </c>
      <c r="L235">
        <v>27.3</v>
      </c>
    </row>
    <row r="236" spans="1:12" x14ac:dyDescent="0.25">
      <c r="A236">
        <v>2013</v>
      </c>
      <c r="B236" t="s">
        <v>14</v>
      </c>
      <c r="C236" s="1">
        <v>17635</v>
      </c>
      <c r="D236">
        <v>47.21</v>
      </c>
      <c r="E236">
        <v>73.400000000000006</v>
      </c>
      <c r="F236">
        <v>77.72</v>
      </c>
      <c r="G236">
        <v>67.02</v>
      </c>
      <c r="H236">
        <v>32.119999999999997</v>
      </c>
      <c r="I236">
        <v>5.48</v>
      </c>
      <c r="J236">
        <v>0.26</v>
      </c>
      <c r="K236">
        <v>1.52</v>
      </c>
      <c r="L236">
        <v>27.2</v>
      </c>
    </row>
    <row r="237" spans="1:12" x14ac:dyDescent="0.25">
      <c r="A237">
        <v>2013</v>
      </c>
      <c r="B237" t="s">
        <v>15</v>
      </c>
      <c r="C237" s="1">
        <v>33196</v>
      </c>
      <c r="D237">
        <v>54.12</v>
      </c>
      <c r="E237">
        <v>84.4</v>
      </c>
      <c r="F237">
        <v>85.73</v>
      </c>
      <c r="G237">
        <v>74.13</v>
      </c>
      <c r="H237">
        <v>37.21</v>
      </c>
      <c r="I237">
        <v>9.14</v>
      </c>
      <c r="J237">
        <v>0.55000000000000004</v>
      </c>
      <c r="K237">
        <v>1.73</v>
      </c>
      <c r="L237">
        <v>27.3</v>
      </c>
    </row>
    <row r="238" spans="1:12" x14ac:dyDescent="0.25">
      <c r="A238">
        <v>2013</v>
      </c>
      <c r="B238" t="s">
        <v>16</v>
      </c>
      <c r="C238" s="1">
        <v>33665</v>
      </c>
      <c r="D238">
        <v>57.18</v>
      </c>
      <c r="E238">
        <v>85.75</v>
      </c>
      <c r="F238">
        <v>84.15</v>
      </c>
      <c r="G238">
        <v>71.790000000000006</v>
      </c>
      <c r="H238">
        <v>36.630000000000003</v>
      </c>
      <c r="I238">
        <v>9.09</v>
      </c>
      <c r="J238">
        <v>0.59</v>
      </c>
      <c r="K238">
        <v>1.73</v>
      </c>
      <c r="L238">
        <v>27.1</v>
      </c>
    </row>
    <row r="239" spans="1:12" x14ac:dyDescent="0.25">
      <c r="A239">
        <v>2013</v>
      </c>
      <c r="B239" t="s">
        <v>17</v>
      </c>
      <c r="C239" s="1">
        <v>312263</v>
      </c>
      <c r="D239">
        <v>57.06</v>
      </c>
      <c r="E239">
        <v>82.15</v>
      </c>
      <c r="F239">
        <v>82.99</v>
      </c>
      <c r="G239">
        <v>80.08</v>
      </c>
      <c r="H239">
        <v>45.63</v>
      </c>
      <c r="I239">
        <v>11.96</v>
      </c>
      <c r="J239">
        <v>0.81</v>
      </c>
      <c r="K239">
        <v>1.8</v>
      </c>
      <c r="L239">
        <v>27.7</v>
      </c>
    </row>
    <row r="240" spans="1:12" x14ac:dyDescent="0.25">
      <c r="A240">
        <v>2014</v>
      </c>
      <c r="B240" t="s">
        <v>1</v>
      </c>
      <c r="C240" s="1">
        <v>625750</v>
      </c>
      <c r="D240">
        <v>55.65</v>
      </c>
      <c r="E240">
        <v>81.98</v>
      </c>
      <c r="F240">
        <v>84.78</v>
      </c>
      <c r="G240">
        <v>78.53</v>
      </c>
      <c r="H240">
        <v>43.81</v>
      </c>
      <c r="I240">
        <v>10.51</v>
      </c>
      <c r="J240">
        <v>0.69</v>
      </c>
      <c r="K240">
        <v>1.78</v>
      </c>
      <c r="L240">
        <v>27.6</v>
      </c>
    </row>
    <row r="241" spans="1:12" x14ac:dyDescent="0.25">
      <c r="A241">
        <v>2014</v>
      </c>
      <c r="B241" t="s">
        <v>2</v>
      </c>
      <c r="C241" s="1">
        <v>9773</v>
      </c>
      <c r="D241">
        <v>57.85</v>
      </c>
      <c r="E241">
        <v>85.73</v>
      </c>
      <c r="F241">
        <v>85.97</v>
      </c>
      <c r="G241">
        <v>72.81</v>
      </c>
      <c r="H241">
        <v>35.04</v>
      </c>
      <c r="I241">
        <v>7.11</v>
      </c>
      <c r="J241">
        <v>0.47</v>
      </c>
      <c r="K241">
        <v>1.72</v>
      </c>
      <c r="L241">
        <v>27</v>
      </c>
    </row>
    <row r="242" spans="1:12" x14ac:dyDescent="0.25">
      <c r="A242">
        <v>2014</v>
      </c>
      <c r="B242" t="s">
        <v>3</v>
      </c>
      <c r="C242" s="1">
        <v>5488</v>
      </c>
      <c r="D242">
        <v>56.24</v>
      </c>
      <c r="E242">
        <v>78.8</v>
      </c>
      <c r="F242">
        <v>81.34</v>
      </c>
      <c r="G242">
        <v>68.83</v>
      </c>
      <c r="H242">
        <v>31.35</v>
      </c>
      <c r="I242">
        <v>5.88</v>
      </c>
      <c r="J242">
        <v>0.47</v>
      </c>
      <c r="K242">
        <v>1.61</v>
      </c>
      <c r="L242">
        <v>26.9</v>
      </c>
    </row>
    <row r="243" spans="1:12" x14ac:dyDescent="0.25">
      <c r="A243">
        <v>2014</v>
      </c>
      <c r="B243" t="s">
        <v>4</v>
      </c>
      <c r="C243" s="1">
        <v>14367</v>
      </c>
      <c r="D243">
        <v>57.9</v>
      </c>
      <c r="E243">
        <v>80.790000000000006</v>
      </c>
      <c r="F243">
        <v>81.099999999999994</v>
      </c>
      <c r="G243">
        <v>75.42</v>
      </c>
      <c r="H243">
        <v>36.11</v>
      </c>
      <c r="I243">
        <v>8.33</v>
      </c>
      <c r="J243">
        <v>0.42</v>
      </c>
      <c r="K243">
        <v>1.7</v>
      </c>
      <c r="L243">
        <v>27.2</v>
      </c>
    </row>
    <row r="244" spans="1:12" x14ac:dyDescent="0.25">
      <c r="A244">
        <v>2014</v>
      </c>
      <c r="B244" t="s">
        <v>5</v>
      </c>
      <c r="C244" s="1">
        <v>89768</v>
      </c>
      <c r="D244">
        <v>49.84</v>
      </c>
      <c r="E244">
        <v>76.69</v>
      </c>
      <c r="F244">
        <v>83.4</v>
      </c>
      <c r="G244">
        <v>75.34</v>
      </c>
      <c r="H244">
        <v>40.31</v>
      </c>
      <c r="I244">
        <v>8.7100000000000009</v>
      </c>
      <c r="J244">
        <v>0.54</v>
      </c>
      <c r="K244">
        <v>1.67</v>
      </c>
      <c r="L244">
        <v>27.6</v>
      </c>
    </row>
    <row r="245" spans="1:12" x14ac:dyDescent="0.25">
      <c r="A245">
        <v>2014</v>
      </c>
      <c r="B245" t="s">
        <v>6</v>
      </c>
      <c r="C245" s="1">
        <v>12984</v>
      </c>
      <c r="D245">
        <v>51.22</v>
      </c>
      <c r="E245">
        <v>76.78</v>
      </c>
      <c r="F245">
        <v>82</v>
      </c>
      <c r="G245">
        <v>74.75</v>
      </c>
      <c r="H245">
        <v>36.44</v>
      </c>
      <c r="I245">
        <v>7.71</v>
      </c>
      <c r="J245">
        <v>0.43</v>
      </c>
      <c r="K245">
        <v>1.65</v>
      </c>
      <c r="L245">
        <v>27.4</v>
      </c>
    </row>
    <row r="246" spans="1:12" x14ac:dyDescent="0.25">
      <c r="A246">
        <v>2014</v>
      </c>
      <c r="B246" t="s">
        <v>7</v>
      </c>
      <c r="C246" s="1">
        <v>9839</v>
      </c>
      <c r="D246">
        <v>52.52</v>
      </c>
      <c r="E246">
        <v>77.81</v>
      </c>
      <c r="F246">
        <v>87.15</v>
      </c>
      <c r="G246">
        <v>74.430000000000007</v>
      </c>
      <c r="H246">
        <v>37.26</v>
      </c>
      <c r="I246">
        <v>8.57</v>
      </c>
      <c r="J246">
        <v>0.24</v>
      </c>
      <c r="K246">
        <v>1.69</v>
      </c>
      <c r="L246">
        <v>27.4</v>
      </c>
    </row>
    <row r="247" spans="1:12" x14ac:dyDescent="0.25">
      <c r="A247">
        <v>2014</v>
      </c>
      <c r="B247" t="s">
        <v>8</v>
      </c>
      <c r="C247" s="1">
        <v>7613</v>
      </c>
      <c r="D247">
        <v>72.260000000000005</v>
      </c>
      <c r="E247">
        <v>101.42</v>
      </c>
      <c r="F247">
        <v>88.44</v>
      </c>
      <c r="G247">
        <v>65.709999999999994</v>
      </c>
      <c r="H247">
        <v>33.83</v>
      </c>
      <c r="I247">
        <v>8.48</v>
      </c>
      <c r="J247">
        <v>0.76</v>
      </c>
      <c r="K247">
        <v>1.85</v>
      </c>
      <c r="L247">
        <v>26.4</v>
      </c>
    </row>
    <row r="248" spans="1:12" x14ac:dyDescent="0.25">
      <c r="A248">
        <v>2014</v>
      </c>
      <c r="B248" t="s">
        <v>9</v>
      </c>
      <c r="C248" s="1">
        <v>12336</v>
      </c>
      <c r="D248">
        <v>55.42</v>
      </c>
      <c r="E248">
        <v>80.14</v>
      </c>
      <c r="F248">
        <v>83.78</v>
      </c>
      <c r="G248">
        <v>72.16</v>
      </c>
      <c r="H248">
        <v>36.5</v>
      </c>
      <c r="I248">
        <v>7.74</v>
      </c>
      <c r="J248">
        <v>0.47</v>
      </c>
      <c r="K248">
        <v>1.68</v>
      </c>
      <c r="L248">
        <v>27.2</v>
      </c>
    </row>
    <row r="249" spans="1:12" x14ac:dyDescent="0.25">
      <c r="A249">
        <v>2014</v>
      </c>
      <c r="B249" t="s">
        <v>10</v>
      </c>
      <c r="C249" s="1">
        <v>10568</v>
      </c>
      <c r="D249">
        <v>56.43</v>
      </c>
      <c r="E249">
        <v>81.31</v>
      </c>
      <c r="F249">
        <v>86.16</v>
      </c>
      <c r="G249">
        <v>71.709999999999994</v>
      </c>
      <c r="H249">
        <v>35.79</v>
      </c>
      <c r="I249">
        <v>6.61</v>
      </c>
      <c r="J249">
        <v>0.59</v>
      </c>
      <c r="K249">
        <v>1.69</v>
      </c>
      <c r="L249">
        <v>27.1</v>
      </c>
    </row>
    <row r="250" spans="1:12" x14ac:dyDescent="0.25">
      <c r="A250">
        <v>2014</v>
      </c>
      <c r="B250" t="s">
        <v>11</v>
      </c>
      <c r="C250" s="1">
        <v>4049</v>
      </c>
      <c r="D250">
        <v>74.36</v>
      </c>
      <c r="E250">
        <v>104.16</v>
      </c>
      <c r="F250">
        <v>87.18</v>
      </c>
      <c r="G250">
        <v>76.52</v>
      </c>
      <c r="H250">
        <v>42.28</v>
      </c>
      <c r="I250">
        <v>10.63</v>
      </c>
      <c r="J250">
        <v>0.69</v>
      </c>
      <c r="K250">
        <v>1.98</v>
      </c>
      <c r="L250">
        <v>26.8</v>
      </c>
    </row>
    <row r="251" spans="1:12" x14ac:dyDescent="0.25">
      <c r="A251">
        <v>2014</v>
      </c>
      <c r="B251" t="s">
        <v>12</v>
      </c>
      <c r="C251" s="1">
        <v>17737</v>
      </c>
      <c r="D251">
        <v>49.99</v>
      </c>
      <c r="E251">
        <v>71.680000000000007</v>
      </c>
      <c r="F251">
        <v>77.97</v>
      </c>
      <c r="G251">
        <v>76.709999999999994</v>
      </c>
      <c r="H251">
        <v>39.85</v>
      </c>
      <c r="I251">
        <v>8.7100000000000009</v>
      </c>
      <c r="J251">
        <v>0.51</v>
      </c>
      <c r="K251">
        <v>1.63</v>
      </c>
      <c r="L251">
        <v>27.7</v>
      </c>
    </row>
    <row r="252" spans="1:12" x14ac:dyDescent="0.25">
      <c r="A252">
        <v>2014</v>
      </c>
      <c r="B252" t="s">
        <v>13</v>
      </c>
      <c r="C252" s="1">
        <v>25344</v>
      </c>
      <c r="D252">
        <v>58.68</v>
      </c>
      <c r="E252">
        <v>89.37</v>
      </c>
      <c r="F252">
        <v>89.14</v>
      </c>
      <c r="G252">
        <v>78.989999999999995</v>
      </c>
      <c r="H252">
        <v>44.9</v>
      </c>
      <c r="I252">
        <v>11.27</v>
      </c>
      <c r="J252">
        <v>0.62</v>
      </c>
      <c r="K252">
        <v>1.86</v>
      </c>
      <c r="L252">
        <v>27.5</v>
      </c>
    </row>
    <row r="253" spans="1:12" x14ac:dyDescent="0.25">
      <c r="A253">
        <v>2014</v>
      </c>
      <c r="B253" t="s">
        <v>14</v>
      </c>
      <c r="C253" s="1">
        <v>18645</v>
      </c>
      <c r="D253">
        <v>48.39</v>
      </c>
      <c r="E253">
        <v>77.98</v>
      </c>
      <c r="F253">
        <v>81.78</v>
      </c>
      <c r="G253">
        <v>71.3</v>
      </c>
      <c r="H253">
        <v>34.43</v>
      </c>
      <c r="I253">
        <v>7.02</v>
      </c>
      <c r="J253">
        <v>0.28999999999999998</v>
      </c>
      <c r="K253">
        <v>1.61</v>
      </c>
      <c r="L253">
        <v>27.3</v>
      </c>
    </row>
    <row r="254" spans="1:12" x14ac:dyDescent="0.25">
      <c r="A254">
        <v>2014</v>
      </c>
      <c r="B254" t="s">
        <v>15</v>
      </c>
      <c r="C254" s="1">
        <v>34204</v>
      </c>
      <c r="D254">
        <v>54.72</v>
      </c>
      <c r="E254">
        <v>85.77</v>
      </c>
      <c r="F254">
        <v>86.84</v>
      </c>
      <c r="G254">
        <v>78.36</v>
      </c>
      <c r="H254">
        <v>40.799999999999997</v>
      </c>
      <c r="I254">
        <v>9.27</v>
      </c>
      <c r="J254">
        <v>0.57999999999999996</v>
      </c>
      <c r="K254">
        <v>1.78</v>
      </c>
      <c r="L254">
        <v>27.4</v>
      </c>
    </row>
    <row r="255" spans="1:12" x14ac:dyDescent="0.25">
      <c r="A255">
        <v>2014</v>
      </c>
      <c r="B255" t="s">
        <v>16</v>
      </c>
      <c r="C255" s="1">
        <v>34573</v>
      </c>
      <c r="D255">
        <v>56.27</v>
      </c>
      <c r="E255">
        <v>85.91</v>
      </c>
      <c r="F255">
        <v>88.09</v>
      </c>
      <c r="G255">
        <v>74.91</v>
      </c>
      <c r="H255">
        <v>38.72</v>
      </c>
      <c r="I255">
        <v>9.19</v>
      </c>
      <c r="J255">
        <v>0.51</v>
      </c>
      <c r="K255">
        <v>1.77</v>
      </c>
      <c r="L255">
        <v>27.3</v>
      </c>
    </row>
    <row r="256" spans="1:12" x14ac:dyDescent="0.25">
      <c r="A256">
        <v>2014</v>
      </c>
      <c r="B256" t="s">
        <v>17</v>
      </c>
      <c r="C256" s="1">
        <v>318394</v>
      </c>
      <c r="D256">
        <v>57.48</v>
      </c>
      <c r="E256">
        <v>82.89</v>
      </c>
      <c r="F256">
        <v>85.04</v>
      </c>
      <c r="G256">
        <v>82.11</v>
      </c>
      <c r="H256">
        <v>48.88</v>
      </c>
      <c r="I256">
        <v>12.52</v>
      </c>
      <c r="J256">
        <v>0.9</v>
      </c>
      <c r="K256">
        <v>1.85</v>
      </c>
      <c r="L256">
        <v>27.8</v>
      </c>
    </row>
    <row r="257" spans="1:12" x14ac:dyDescent="0.25">
      <c r="A257">
        <v>2015</v>
      </c>
      <c r="B257" t="s">
        <v>1</v>
      </c>
      <c r="C257" s="1">
        <v>632407</v>
      </c>
      <c r="D257">
        <v>54.1</v>
      </c>
      <c r="E257">
        <v>83.35</v>
      </c>
      <c r="F257">
        <v>86.01</v>
      </c>
      <c r="G257">
        <v>80.27</v>
      </c>
      <c r="H257">
        <v>45.69</v>
      </c>
      <c r="I257">
        <v>10.99</v>
      </c>
      <c r="J257">
        <v>0.68</v>
      </c>
      <c r="K257">
        <v>1.81</v>
      </c>
      <c r="L257">
        <v>27.7</v>
      </c>
    </row>
    <row r="258" spans="1:12" x14ac:dyDescent="0.25">
      <c r="A258">
        <v>2015</v>
      </c>
      <c r="B258" t="s">
        <v>2</v>
      </c>
      <c r="C258" s="1">
        <v>9732</v>
      </c>
      <c r="D258">
        <v>55.18</v>
      </c>
      <c r="E258">
        <v>86.84</v>
      </c>
      <c r="F258">
        <v>86.5</v>
      </c>
      <c r="G258">
        <v>73.05</v>
      </c>
      <c r="H258">
        <v>36.07</v>
      </c>
      <c r="I258">
        <v>7.39</v>
      </c>
      <c r="J258">
        <v>0.18</v>
      </c>
      <c r="K258">
        <v>1.73</v>
      </c>
      <c r="L258">
        <v>27.1</v>
      </c>
    </row>
    <row r="259" spans="1:12" x14ac:dyDescent="0.25">
      <c r="A259">
        <v>2015</v>
      </c>
      <c r="B259" t="s">
        <v>3</v>
      </c>
      <c r="C259" s="1">
        <v>5528</v>
      </c>
      <c r="D259">
        <v>56.26</v>
      </c>
      <c r="E259">
        <v>81.67</v>
      </c>
      <c r="F259">
        <v>81.81</v>
      </c>
      <c r="G259">
        <v>68.3</v>
      </c>
      <c r="H259">
        <v>33.61</v>
      </c>
      <c r="I259">
        <v>5.91</v>
      </c>
      <c r="J259">
        <v>0.2</v>
      </c>
      <c r="K259">
        <v>1.64</v>
      </c>
      <c r="L259">
        <v>26.9</v>
      </c>
    </row>
    <row r="260" spans="1:12" x14ac:dyDescent="0.25">
      <c r="A260">
        <v>2015</v>
      </c>
      <c r="B260" t="s">
        <v>4</v>
      </c>
      <c r="C260" s="1">
        <v>14268</v>
      </c>
      <c r="D260">
        <v>55.43</v>
      </c>
      <c r="E260">
        <v>81.81</v>
      </c>
      <c r="F260">
        <v>80.040000000000006</v>
      </c>
      <c r="G260">
        <v>75.17</v>
      </c>
      <c r="H260">
        <v>39.369999999999997</v>
      </c>
      <c r="I260">
        <v>8.19</v>
      </c>
      <c r="J260">
        <v>0.49</v>
      </c>
      <c r="K260">
        <v>1.7</v>
      </c>
      <c r="L260">
        <v>27.3</v>
      </c>
    </row>
    <row r="261" spans="1:12" x14ac:dyDescent="0.25">
      <c r="A261">
        <v>2015</v>
      </c>
      <c r="B261" t="s">
        <v>5</v>
      </c>
      <c r="C261" s="1">
        <v>92040</v>
      </c>
      <c r="D261">
        <v>47.97</v>
      </c>
      <c r="E261">
        <v>79.14</v>
      </c>
      <c r="F261">
        <v>84.37</v>
      </c>
      <c r="G261">
        <v>79.17</v>
      </c>
      <c r="H261">
        <v>42.93</v>
      </c>
      <c r="I261">
        <v>9.42</v>
      </c>
      <c r="J261">
        <v>0.59</v>
      </c>
      <c r="K261">
        <v>1.72</v>
      </c>
      <c r="L261">
        <v>27.8</v>
      </c>
    </row>
    <row r="262" spans="1:12" x14ac:dyDescent="0.25">
      <c r="A262">
        <v>2015</v>
      </c>
      <c r="B262" t="s">
        <v>6</v>
      </c>
      <c r="C262" s="1">
        <v>13046</v>
      </c>
      <c r="D262">
        <v>49.15</v>
      </c>
      <c r="E262">
        <v>74.05</v>
      </c>
      <c r="F262">
        <v>84.02</v>
      </c>
      <c r="G262">
        <v>74.3</v>
      </c>
      <c r="H262">
        <v>41.57</v>
      </c>
      <c r="I262">
        <v>8.19</v>
      </c>
      <c r="J262">
        <v>0.23</v>
      </c>
      <c r="K262">
        <v>1.66</v>
      </c>
      <c r="L262">
        <v>27.7</v>
      </c>
    </row>
    <row r="263" spans="1:12" x14ac:dyDescent="0.25">
      <c r="A263">
        <v>2015</v>
      </c>
      <c r="B263" t="s">
        <v>7</v>
      </c>
      <c r="C263" s="1">
        <v>10086</v>
      </c>
      <c r="D263">
        <v>52.64</v>
      </c>
      <c r="E263">
        <v>80.260000000000005</v>
      </c>
      <c r="F263">
        <v>88.36</v>
      </c>
      <c r="G263">
        <v>77.44</v>
      </c>
      <c r="H263">
        <v>40.200000000000003</v>
      </c>
      <c r="I263">
        <v>9.1300000000000008</v>
      </c>
      <c r="J263">
        <v>0.4</v>
      </c>
      <c r="K263">
        <v>1.74</v>
      </c>
      <c r="L263">
        <v>27.5</v>
      </c>
    </row>
    <row r="264" spans="1:12" x14ac:dyDescent="0.25">
      <c r="A264">
        <v>2015</v>
      </c>
      <c r="B264" t="s">
        <v>8</v>
      </c>
      <c r="C264" s="1">
        <v>7666</v>
      </c>
      <c r="D264">
        <v>74.040000000000006</v>
      </c>
      <c r="E264">
        <v>100.36</v>
      </c>
      <c r="F264">
        <v>95.21</v>
      </c>
      <c r="G264">
        <v>66.150000000000006</v>
      </c>
      <c r="H264">
        <v>31.47</v>
      </c>
      <c r="I264">
        <v>7.88</v>
      </c>
      <c r="J264">
        <v>0.41</v>
      </c>
      <c r="K264">
        <v>1.88</v>
      </c>
      <c r="L264">
        <v>26.2</v>
      </c>
    </row>
    <row r="265" spans="1:12" x14ac:dyDescent="0.25">
      <c r="A265">
        <v>2015</v>
      </c>
      <c r="B265" t="s">
        <v>9</v>
      </c>
      <c r="C265" s="1">
        <v>12548</v>
      </c>
      <c r="D265">
        <v>56.32</v>
      </c>
      <c r="E265">
        <v>82.92</v>
      </c>
      <c r="F265">
        <v>86.65</v>
      </c>
      <c r="G265">
        <v>72.33</v>
      </c>
      <c r="H265">
        <v>38.130000000000003</v>
      </c>
      <c r="I265">
        <v>8.51</v>
      </c>
      <c r="J265">
        <v>0.46</v>
      </c>
      <c r="K265">
        <v>1.73</v>
      </c>
      <c r="L265">
        <v>27.2</v>
      </c>
    </row>
    <row r="266" spans="1:12" x14ac:dyDescent="0.25">
      <c r="A266">
        <v>2015</v>
      </c>
      <c r="B266" t="s">
        <v>10</v>
      </c>
      <c r="C266" s="1">
        <v>10431</v>
      </c>
      <c r="D266">
        <v>51.86</v>
      </c>
      <c r="E266">
        <v>80.98</v>
      </c>
      <c r="F266">
        <v>88.82</v>
      </c>
      <c r="G266">
        <v>71.400000000000006</v>
      </c>
      <c r="H266">
        <v>35.700000000000003</v>
      </c>
      <c r="I266">
        <v>8.18</v>
      </c>
      <c r="J266">
        <v>0.49</v>
      </c>
      <c r="K266">
        <v>1.69</v>
      </c>
      <c r="L266">
        <v>27.3</v>
      </c>
    </row>
    <row r="267" spans="1:12" x14ac:dyDescent="0.25">
      <c r="A267">
        <v>2015</v>
      </c>
      <c r="B267" t="s">
        <v>11</v>
      </c>
      <c r="C267" s="1">
        <v>4113</v>
      </c>
      <c r="D267">
        <v>72.09</v>
      </c>
      <c r="E267">
        <v>110.5</v>
      </c>
      <c r="F267">
        <v>92.52</v>
      </c>
      <c r="G267">
        <v>74.290000000000006</v>
      </c>
      <c r="H267">
        <v>43.92</v>
      </c>
      <c r="I267">
        <v>12.31</v>
      </c>
      <c r="J267">
        <v>0.56000000000000005</v>
      </c>
      <c r="K267">
        <v>2.0299999999999998</v>
      </c>
      <c r="L267">
        <v>26.8</v>
      </c>
    </row>
    <row r="268" spans="1:12" x14ac:dyDescent="0.25">
      <c r="A268">
        <v>2015</v>
      </c>
      <c r="B268" t="s">
        <v>12</v>
      </c>
      <c r="C268" s="1">
        <v>17875</v>
      </c>
      <c r="D268">
        <v>45.01</v>
      </c>
      <c r="E268">
        <v>72.260000000000005</v>
      </c>
      <c r="F268">
        <v>79.55</v>
      </c>
      <c r="G268">
        <v>77.88</v>
      </c>
      <c r="H268">
        <v>42.38</v>
      </c>
      <c r="I268">
        <v>9.86</v>
      </c>
      <c r="J268">
        <v>0.46</v>
      </c>
      <c r="K268">
        <v>1.64</v>
      </c>
      <c r="L268">
        <v>28</v>
      </c>
    </row>
    <row r="269" spans="1:12" x14ac:dyDescent="0.25">
      <c r="A269">
        <v>2015</v>
      </c>
      <c r="B269" t="s">
        <v>13</v>
      </c>
      <c r="C269" s="1">
        <v>25219</v>
      </c>
      <c r="D269">
        <v>57.08</v>
      </c>
      <c r="E269">
        <v>90.07</v>
      </c>
      <c r="F269">
        <v>88.96</v>
      </c>
      <c r="G269">
        <v>79.98</v>
      </c>
      <c r="H269">
        <v>44.85</v>
      </c>
      <c r="I269">
        <v>11.29</v>
      </c>
      <c r="J269">
        <v>0.69</v>
      </c>
      <c r="K269">
        <v>1.86</v>
      </c>
      <c r="L269">
        <v>27.5</v>
      </c>
    </row>
    <row r="270" spans="1:12" x14ac:dyDescent="0.25">
      <c r="A270">
        <v>2015</v>
      </c>
      <c r="B270" t="s">
        <v>14</v>
      </c>
      <c r="C270" s="1">
        <v>18584</v>
      </c>
      <c r="D270">
        <v>46.03</v>
      </c>
      <c r="E270">
        <v>77.47</v>
      </c>
      <c r="F270">
        <v>81.25</v>
      </c>
      <c r="G270">
        <v>71.010000000000005</v>
      </c>
      <c r="H270">
        <v>37.29</v>
      </c>
      <c r="I270">
        <v>7.01</v>
      </c>
      <c r="J270">
        <v>0.45</v>
      </c>
      <c r="K270">
        <v>1.6</v>
      </c>
      <c r="L270">
        <v>27.5</v>
      </c>
    </row>
    <row r="271" spans="1:12" x14ac:dyDescent="0.25">
      <c r="A271">
        <v>2015</v>
      </c>
      <c r="B271" t="s">
        <v>15</v>
      </c>
      <c r="C271" s="1">
        <v>34062</v>
      </c>
      <c r="D271">
        <v>53.75</v>
      </c>
      <c r="E271">
        <v>85.24</v>
      </c>
      <c r="F271">
        <v>88.16</v>
      </c>
      <c r="G271">
        <v>76.22</v>
      </c>
      <c r="H271">
        <v>42.61</v>
      </c>
      <c r="I271">
        <v>9.7799999999999994</v>
      </c>
      <c r="J271">
        <v>0.43</v>
      </c>
      <c r="K271">
        <v>1.78</v>
      </c>
      <c r="L271">
        <v>27.5</v>
      </c>
    </row>
    <row r="272" spans="1:12" x14ac:dyDescent="0.25">
      <c r="A272">
        <v>2015</v>
      </c>
      <c r="B272" t="s">
        <v>16</v>
      </c>
      <c r="C272" s="1">
        <v>35456</v>
      </c>
      <c r="D272">
        <v>54.82</v>
      </c>
      <c r="E272">
        <v>88.8</v>
      </c>
      <c r="F272">
        <v>89.39</v>
      </c>
      <c r="G272">
        <v>77.489999999999995</v>
      </c>
      <c r="H272">
        <v>41.31</v>
      </c>
      <c r="I272">
        <v>9.4499999999999993</v>
      </c>
      <c r="J272">
        <v>0.46</v>
      </c>
      <c r="K272">
        <v>1.81</v>
      </c>
      <c r="L272">
        <v>27.4</v>
      </c>
    </row>
    <row r="273" spans="1:12" x14ac:dyDescent="0.25">
      <c r="A273">
        <v>2015</v>
      </c>
      <c r="B273" t="s">
        <v>17</v>
      </c>
      <c r="C273" s="1">
        <v>321418</v>
      </c>
      <c r="D273">
        <v>56.14</v>
      </c>
      <c r="E273">
        <v>84.31</v>
      </c>
      <c r="F273">
        <v>86.36</v>
      </c>
      <c r="G273">
        <v>84.23</v>
      </c>
      <c r="H273">
        <v>50.47</v>
      </c>
      <c r="I273">
        <v>12.97</v>
      </c>
      <c r="J273">
        <v>0.88</v>
      </c>
      <c r="K273">
        <v>1.88</v>
      </c>
      <c r="L273">
        <v>27.9</v>
      </c>
    </row>
    <row r="274" spans="1:12" x14ac:dyDescent="0.25">
      <c r="A274">
        <v>2016</v>
      </c>
      <c r="B274" t="s">
        <v>1</v>
      </c>
      <c r="C274" s="1">
        <v>599942</v>
      </c>
      <c r="D274">
        <v>49.63</v>
      </c>
      <c r="E274">
        <v>80.010000000000005</v>
      </c>
      <c r="F274">
        <v>81.78</v>
      </c>
      <c r="G274">
        <v>76.36</v>
      </c>
      <c r="H274">
        <v>44.99</v>
      </c>
      <c r="I274">
        <v>10.76</v>
      </c>
      <c r="J274">
        <v>0.68</v>
      </c>
      <c r="K274">
        <v>1.72</v>
      </c>
      <c r="L274">
        <v>27.8</v>
      </c>
    </row>
    <row r="275" spans="1:12" x14ac:dyDescent="0.25">
      <c r="A275">
        <v>2016</v>
      </c>
      <c r="B275" t="s">
        <v>2</v>
      </c>
      <c r="C275" s="1">
        <v>8982</v>
      </c>
      <c r="D275">
        <v>49.57</v>
      </c>
      <c r="E275">
        <v>80.11</v>
      </c>
      <c r="F275">
        <v>82.17</v>
      </c>
      <c r="G275">
        <v>67.61</v>
      </c>
      <c r="H275">
        <v>34.729999999999997</v>
      </c>
      <c r="I275">
        <v>7.9</v>
      </c>
      <c r="J275">
        <v>0.5</v>
      </c>
      <c r="K275">
        <v>1.61</v>
      </c>
      <c r="L275">
        <v>27.2</v>
      </c>
    </row>
    <row r="276" spans="1:12" x14ac:dyDescent="0.25">
      <c r="A276">
        <v>2016</v>
      </c>
      <c r="B276" t="s">
        <v>3</v>
      </c>
      <c r="C276" s="1">
        <v>5035</v>
      </c>
      <c r="D276">
        <v>50.13</v>
      </c>
      <c r="E276">
        <v>79.92</v>
      </c>
      <c r="F276">
        <v>73.91</v>
      </c>
      <c r="G276">
        <v>61.46</v>
      </c>
      <c r="H276">
        <v>30.11</v>
      </c>
      <c r="I276">
        <v>6.62</v>
      </c>
      <c r="J276">
        <v>0.33</v>
      </c>
      <c r="K276">
        <v>1.51</v>
      </c>
      <c r="L276">
        <v>26.9</v>
      </c>
    </row>
    <row r="277" spans="1:12" x14ac:dyDescent="0.25">
      <c r="A277">
        <v>2016</v>
      </c>
      <c r="B277" t="s">
        <v>4</v>
      </c>
      <c r="C277" s="1">
        <v>13474</v>
      </c>
      <c r="D277">
        <v>48.71</v>
      </c>
      <c r="E277">
        <v>80.08</v>
      </c>
      <c r="F277">
        <v>76.91</v>
      </c>
      <c r="G277">
        <v>70.73</v>
      </c>
      <c r="H277">
        <v>39.409999999999997</v>
      </c>
      <c r="I277">
        <v>7.27</v>
      </c>
      <c r="J277">
        <v>0.39</v>
      </c>
      <c r="K277">
        <v>1.62</v>
      </c>
      <c r="L277">
        <v>27.4</v>
      </c>
    </row>
    <row r="278" spans="1:12" x14ac:dyDescent="0.25">
      <c r="A278">
        <v>2016</v>
      </c>
      <c r="B278" t="s">
        <v>5</v>
      </c>
      <c r="C278" s="1">
        <v>87320</v>
      </c>
      <c r="D278">
        <v>43.84</v>
      </c>
      <c r="E278">
        <v>75.98</v>
      </c>
      <c r="F278">
        <v>79.63</v>
      </c>
      <c r="G278">
        <v>75.31</v>
      </c>
      <c r="H278">
        <v>41.92</v>
      </c>
      <c r="I278">
        <v>9.14</v>
      </c>
      <c r="J278">
        <v>0.56999999999999995</v>
      </c>
      <c r="K278">
        <v>1.63</v>
      </c>
      <c r="L278">
        <v>27.9</v>
      </c>
    </row>
    <row r="279" spans="1:12" x14ac:dyDescent="0.25">
      <c r="A279">
        <v>2016</v>
      </c>
      <c r="B279" t="s">
        <v>6</v>
      </c>
      <c r="C279" s="1">
        <v>12187</v>
      </c>
      <c r="D279">
        <v>43.45</v>
      </c>
      <c r="E279">
        <v>69.95</v>
      </c>
      <c r="F279">
        <v>78.37</v>
      </c>
      <c r="G279">
        <v>70.64</v>
      </c>
      <c r="H279">
        <v>40.53</v>
      </c>
      <c r="I279">
        <v>8.3000000000000007</v>
      </c>
      <c r="J279">
        <v>0.22</v>
      </c>
      <c r="K279">
        <v>1.56</v>
      </c>
      <c r="L279">
        <v>27.8</v>
      </c>
    </row>
    <row r="280" spans="1:12" x14ac:dyDescent="0.25">
      <c r="A280">
        <v>2016</v>
      </c>
      <c r="B280" t="s">
        <v>7</v>
      </c>
      <c r="C280" s="1">
        <v>9615</v>
      </c>
      <c r="D280">
        <v>47.35</v>
      </c>
      <c r="E280">
        <v>78.23</v>
      </c>
      <c r="F280">
        <v>85.32</v>
      </c>
      <c r="G280">
        <v>72.84</v>
      </c>
      <c r="H280">
        <v>40.76</v>
      </c>
      <c r="I280">
        <v>8.65</v>
      </c>
      <c r="J280">
        <v>0.55000000000000004</v>
      </c>
      <c r="K280">
        <v>1.67</v>
      </c>
      <c r="L280">
        <v>27.6</v>
      </c>
    </row>
    <row r="281" spans="1:12" x14ac:dyDescent="0.25">
      <c r="A281">
        <v>2016</v>
      </c>
      <c r="B281" t="s">
        <v>8</v>
      </c>
      <c r="C281" s="1">
        <v>7375</v>
      </c>
      <c r="D281">
        <v>65.239999999999995</v>
      </c>
      <c r="E281">
        <v>98.64</v>
      </c>
      <c r="F281">
        <v>89.07</v>
      </c>
      <c r="G281">
        <v>68.61</v>
      </c>
      <c r="H281">
        <v>35.270000000000003</v>
      </c>
      <c r="I281">
        <v>7.56</v>
      </c>
      <c r="J281">
        <v>0.4</v>
      </c>
      <c r="K281">
        <v>1.82</v>
      </c>
      <c r="L281">
        <v>26.6</v>
      </c>
    </row>
    <row r="282" spans="1:12" x14ac:dyDescent="0.25">
      <c r="A282">
        <v>2016</v>
      </c>
      <c r="B282" t="s">
        <v>9</v>
      </c>
      <c r="C282" s="1">
        <v>11956</v>
      </c>
      <c r="D282">
        <v>51.81</v>
      </c>
      <c r="E282">
        <v>80.11</v>
      </c>
      <c r="F282">
        <v>81.25</v>
      </c>
      <c r="G282">
        <v>71.67</v>
      </c>
      <c r="H282">
        <v>39.770000000000003</v>
      </c>
      <c r="I282">
        <v>7.29</v>
      </c>
      <c r="J282">
        <v>0.43</v>
      </c>
      <c r="K282">
        <v>1.66</v>
      </c>
      <c r="L282">
        <v>27.4</v>
      </c>
    </row>
    <row r="283" spans="1:12" x14ac:dyDescent="0.25">
      <c r="A283">
        <v>2016</v>
      </c>
      <c r="B283" t="s">
        <v>10</v>
      </c>
      <c r="C283" s="1">
        <v>10307</v>
      </c>
      <c r="D283">
        <v>47.42</v>
      </c>
      <c r="E283">
        <v>78.61</v>
      </c>
      <c r="F283">
        <v>89.01</v>
      </c>
      <c r="G283">
        <v>72.87</v>
      </c>
      <c r="H283">
        <v>39.4</v>
      </c>
      <c r="I283">
        <v>8.41</v>
      </c>
      <c r="J283">
        <v>0.33</v>
      </c>
      <c r="K283">
        <v>1.68</v>
      </c>
      <c r="L283">
        <v>27.6</v>
      </c>
    </row>
    <row r="284" spans="1:12" x14ac:dyDescent="0.25">
      <c r="A284">
        <v>2016</v>
      </c>
      <c r="B284" t="s">
        <v>11</v>
      </c>
      <c r="C284" s="1">
        <v>3941</v>
      </c>
      <c r="D284">
        <v>65.12</v>
      </c>
      <c r="E284">
        <v>106.55</v>
      </c>
      <c r="F284">
        <v>91.12</v>
      </c>
      <c r="G284">
        <v>78.39</v>
      </c>
      <c r="H284">
        <v>41.22</v>
      </c>
      <c r="I284">
        <v>11.79</v>
      </c>
      <c r="J284">
        <v>0.67</v>
      </c>
      <c r="K284">
        <v>1.97</v>
      </c>
      <c r="L284">
        <v>27</v>
      </c>
    </row>
    <row r="285" spans="1:12" x14ac:dyDescent="0.25">
      <c r="A285">
        <v>2016</v>
      </c>
      <c r="B285" t="s">
        <v>12</v>
      </c>
      <c r="C285" s="1">
        <v>16371</v>
      </c>
      <c r="D285">
        <v>41.17</v>
      </c>
      <c r="E285">
        <v>70.02</v>
      </c>
      <c r="F285">
        <v>73.34</v>
      </c>
      <c r="G285">
        <v>68.260000000000005</v>
      </c>
      <c r="H285">
        <v>38.380000000000003</v>
      </c>
      <c r="I285">
        <v>8.49</v>
      </c>
      <c r="J285">
        <v>0.39</v>
      </c>
      <c r="K285">
        <v>1.5</v>
      </c>
      <c r="L285">
        <v>27.8</v>
      </c>
    </row>
    <row r="286" spans="1:12" x14ac:dyDescent="0.25">
      <c r="A286">
        <v>2016</v>
      </c>
      <c r="B286" t="s">
        <v>13</v>
      </c>
      <c r="C286" s="1">
        <v>23844</v>
      </c>
      <c r="D286">
        <v>53.53</v>
      </c>
      <c r="E286">
        <v>88.2</v>
      </c>
      <c r="F286">
        <v>82.21</v>
      </c>
      <c r="G286">
        <v>73.83</v>
      </c>
      <c r="H286">
        <v>44.17</v>
      </c>
      <c r="I286">
        <v>11.48</v>
      </c>
      <c r="J286">
        <v>0.82</v>
      </c>
      <c r="K286">
        <v>1.77</v>
      </c>
      <c r="L286">
        <v>27.6</v>
      </c>
    </row>
    <row r="287" spans="1:12" x14ac:dyDescent="0.25">
      <c r="A287">
        <v>2016</v>
      </c>
      <c r="B287" t="s">
        <v>14</v>
      </c>
      <c r="C287" s="1">
        <v>17410</v>
      </c>
      <c r="D287">
        <v>41.81</v>
      </c>
      <c r="E287">
        <v>71.55</v>
      </c>
      <c r="F287">
        <v>78.84</v>
      </c>
      <c r="G287">
        <v>66.59</v>
      </c>
      <c r="H287">
        <v>35.130000000000003</v>
      </c>
      <c r="I287">
        <v>6.18</v>
      </c>
      <c r="J287">
        <v>0.38</v>
      </c>
      <c r="K287">
        <v>1.5</v>
      </c>
      <c r="L287">
        <v>27.5</v>
      </c>
    </row>
    <row r="288" spans="1:12" x14ac:dyDescent="0.25">
      <c r="A288">
        <v>2016</v>
      </c>
      <c r="B288" t="s">
        <v>15</v>
      </c>
      <c r="C288" s="1">
        <v>32759</v>
      </c>
      <c r="D288">
        <v>48.34</v>
      </c>
      <c r="E288">
        <v>81.37</v>
      </c>
      <c r="F288">
        <v>85.45</v>
      </c>
      <c r="G288">
        <v>75.790000000000006</v>
      </c>
      <c r="H288">
        <v>42.89</v>
      </c>
      <c r="I288">
        <v>9.18</v>
      </c>
      <c r="J288">
        <v>0.68</v>
      </c>
      <c r="K288">
        <v>1.72</v>
      </c>
      <c r="L288">
        <v>27.7</v>
      </c>
    </row>
    <row r="289" spans="1:12" x14ac:dyDescent="0.25">
      <c r="A289">
        <v>2016</v>
      </c>
      <c r="B289" t="s">
        <v>16</v>
      </c>
      <c r="C289" s="1">
        <v>33828</v>
      </c>
      <c r="D289">
        <v>52.01</v>
      </c>
      <c r="E289">
        <v>82.55</v>
      </c>
      <c r="F289">
        <v>84.86</v>
      </c>
      <c r="G289">
        <v>73.28</v>
      </c>
      <c r="H289">
        <v>41.91</v>
      </c>
      <c r="I289">
        <v>9.43</v>
      </c>
      <c r="J289">
        <v>0.65</v>
      </c>
      <c r="K289">
        <v>1.72</v>
      </c>
      <c r="L289">
        <v>27.5</v>
      </c>
    </row>
    <row r="290" spans="1:12" x14ac:dyDescent="0.25">
      <c r="A290">
        <v>2016</v>
      </c>
      <c r="B290" t="s">
        <v>17</v>
      </c>
      <c r="C290" s="1">
        <v>305243</v>
      </c>
      <c r="D290">
        <v>51.82</v>
      </c>
      <c r="E290">
        <v>81.209999999999994</v>
      </c>
      <c r="F290">
        <v>82.31</v>
      </c>
      <c r="G290">
        <v>80.14</v>
      </c>
      <c r="H290">
        <v>49.61</v>
      </c>
      <c r="I290">
        <v>12.87</v>
      </c>
      <c r="J290">
        <v>0.84</v>
      </c>
      <c r="K290">
        <v>1.79</v>
      </c>
      <c r="L290">
        <v>28</v>
      </c>
    </row>
    <row r="291" spans="1:12" x14ac:dyDescent="0.25">
      <c r="A291">
        <v>2017</v>
      </c>
      <c r="B291" t="s">
        <v>1</v>
      </c>
      <c r="C291" s="1">
        <v>611538</v>
      </c>
      <c r="D291">
        <v>46.96</v>
      </c>
      <c r="E291">
        <v>81.23</v>
      </c>
      <c r="F291">
        <v>83.51</v>
      </c>
      <c r="G291">
        <v>79.45</v>
      </c>
      <c r="H291">
        <v>48.88</v>
      </c>
      <c r="I291">
        <v>11.55</v>
      </c>
      <c r="J291">
        <v>0.7</v>
      </c>
      <c r="K291">
        <v>1.76</v>
      </c>
      <c r="L291">
        <v>28.1</v>
      </c>
    </row>
    <row r="292" spans="1:12" x14ac:dyDescent="0.25">
      <c r="A292">
        <v>2017</v>
      </c>
      <c r="B292" t="s">
        <v>2</v>
      </c>
      <c r="C292" s="1">
        <v>9495</v>
      </c>
      <c r="D292">
        <v>50.3</v>
      </c>
      <c r="E292">
        <v>84.63</v>
      </c>
      <c r="F292">
        <v>87.03</v>
      </c>
      <c r="G292">
        <v>73.34</v>
      </c>
      <c r="H292">
        <v>39.49</v>
      </c>
      <c r="I292">
        <v>8.4499999999999993</v>
      </c>
      <c r="J292">
        <v>0.64</v>
      </c>
      <c r="K292">
        <v>1.72</v>
      </c>
      <c r="L292">
        <v>27.4</v>
      </c>
    </row>
    <row r="293" spans="1:12" x14ac:dyDescent="0.25">
      <c r="A293">
        <v>2017</v>
      </c>
      <c r="B293" t="s">
        <v>3</v>
      </c>
      <c r="C293" s="1">
        <v>5515</v>
      </c>
      <c r="D293">
        <v>48.78</v>
      </c>
      <c r="E293">
        <v>85.84</v>
      </c>
      <c r="F293">
        <v>79.61</v>
      </c>
      <c r="G293">
        <v>75.06</v>
      </c>
      <c r="H293">
        <v>36.869999999999997</v>
      </c>
      <c r="I293">
        <v>6.29</v>
      </c>
      <c r="J293">
        <v>0.26</v>
      </c>
      <c r="K293">
        <v>1.66</v>
      </c>
      <c r="L293">
        <v>27.3</v>
      </c>
    </row>
    <row r="294" spans="1:12" x14ac:dyDescent="0.25">
      <c r="A294">
        <v>2017</v>
      </c>
      <c r="B294" t="s">
        <v>4</v>
      </c>
      <c r="C294" s="1">
        <v>13690</v>
      </c>
      <c r="D294">
        <v>46.62</v>
      </c>
      <c r="E294">
        <v>80.33</v>
      </c>
      <c r="F294">
        <v>81.52</v>
      </c>
      <c r="G294">
        <v>73.16</v>
      </c>
      <c r="H294">
        <v>39.86</v>
      </c>
      <c r="I294">
        <v>8.66</v>
      </c>
      <c r="J294">
        <v>0.26</v>
      </c>
      <c r="K294">
        <v>1.65</v>
      </c>
      <c r="L294">
        <v>27.6</v>
      </c>
    </row>
    <row r="295" spans="1:12" x14ac:dyDescent="0.25">
      <c r="A295">
        <v>2017</v>
      </c>
      <c r="B295" t="s">
        <v>5</v>
      </c>
      <c r="C295" s="1">
        <v>89500</v>
      </c>
      <c r="D295">
        <v>40.299999999999997</v>
      </c>
      <c r="E295">
        <v>75.97</v>
      </c>
      <c r="F295">
        <v>82.59</v>
      </c>
      <c r="G295">
        <v>78.72</v>
      </c>
      <c r="H295">
        <v>46.43</v>
      </c>
      <c r="I295">
        <v>9.93</v>
      </c>
      <c r="J295">
        <v>0.56000000000000005</v>
      </c>
      <c r="K295">
        <v>1.67</v>
      </c>
      <c r="L295">
        <v>28.2</v>
      </c>
    </row>
    <row r="296" spans="1:12" x14ac:dyDescent="0.25">
      <c r="A296">
        <v>2017</v>
      </c>
      <c r="B296" t="s">
        <v>6</v>
      </c>
      <c r="C296" s="1">
        <v>12528</v>
      </c>
      <c r="D296">
        <v>44.22</v>
      </c>
      <c r="E296">
        <v>70.2</v>
      </c>
      <c r="F296">
        <v>80.05</v>
      </c>
      <c r="G296">
        <v>74.150000000000006</v>
      </c>
      <c r="H296">
        <v>44.22</v>
      </c>
      <c r="I296">
        <v>9.14</v>
      </c>
      <c r="J296">
        <v>0.25</v>
      </c>
      <c r="K296">
        <v>1.61</v>
      </c>
      <c r="L296">
        <v>28</v>
      </c>
    </row>
    <row r="297" spans="1:12" x14ac:dyDescent="0.25">
      <c r="A297">
        <v>2017</v>
      </c>
      <c r="B297" t="s">
        <v>7</v>
      </c>
      <c r="C297" s="1">
        <v>9993</v>
      </c>
      <c r="D297">
        <v>44.57</v>
      </c>
      <c r="E297">
        <v>81.47</v>
      </c>
      <c r="F297">
        <v>88.67</v>
      </c>
      <c r="G297">
        <v>78.66</v>
      </c>
      <c r="H297">
        <v>45.7</v>
      </c>
      <c r="I297">
        <v>9.42</v>
      </c>
      <c r="J297">
        <v>0.2</v>
      </c>
      <c r="K297">
        <v>1.74</v>
      </c>
      <c r="L297">
        <v>27.9</v>
      </c>
    </row>
    <row r="298" spans="1:12" x14ac:dyDescent="0.25">
      <c r="A298">
        <v>2017</v>
      </c>
      <c r="B298" t="s">
        <v>8</v>
      </c>
      <c r="C298" s="1">
        <v>7467</v>
      </c>
      <c r="D298">
        <v>63.26</v>
      </c>
      <c r="E298">
        <v>99.5</v>
      </c>
      <c r="F298">
        <v>92</v>
      </c>
      <c r="G298">
        <v>68.849999999999994</v>
      </c>
      <c r="H298">
        <v>38.880000000000003</v>
      </c>
      <c r="I298">
        <v>9.3000000000000007</v>
      </c>
      <c r="J298">
        <v>0.34</v>
      </c>
      <c r="K298">
        <v>1.86</v>
      </c>
      <c r="L298">
        <v>26.8</v>
      </c>
    </row>
    <row r="299" spans="1:12" x14ac:dyDescent="0.25">
      <c r="A299">
        <v>2017</v>
      </c>
      <c r="B299" t="s">
        <v>9</v>
      </c>
      <c r="C299" s="1">
        <v>12490</v>
      </c>
      <c r="D299">
        <v>48.94</v>
      </c>
      <c r="E299">
        <v>82.22</v>
      </c>
      <c r="F299">
        <v>87.26</v>
      </c>
      <c r="G299">
        <v>76.489999999999995</v>
      </c>
      <c r="H299">
        <v>44.04</v>
      </c>
      <c r="I299">
        <v>10.01</v>
      </c>
      <c r="J299">
        <v>0.6</v>
      </c>
      <c r="K299">
        <v>1.75</v>
      </c>
      <c r="L299">
        <v>27.7</v>
      </c>
    </row>
    <row r="300" spans="1:12" x14ac:dyDescent="0.25">
      <c r="A300">
        <v>2017</v>
      </c>
      <c r="B300" t="s">
        <v>10</v>
      </c>
      <c r="C300" s="1">
        <v>10475</v>
      </c>
      <c r="D300">
        <v>48.72</v>
      </c>
      <c r="E300">
        <v>80.08</v>
      </c>
      <c r="F300">
        <v>87.95</v>
      </c>
      <c r="G300">
        <v>76.66</v>
      </c>
      <c r="H300">
        <v>42.2</v>
      </c>
      <c r="I300">
        <v>9.33</v>
      </c>
      <c r="J300">
        <v>0.43</v>
      </c>
      <c r="K300">
        <v>1.73</v>
      </c>
      <c r="L300">
        <v>27.7</v>
      </c>
    </row>
    <row r="301" spans="1:12" x14ac:dyDescent="0.25">
      <c r="A301">
        <v>2017</v>
      </c>
      <c r="B301" t="s">
        <v>11</v>
      </c>
      <c r="C301" s="1">
        <v>3923</v>
      </c>
      <c r="D301">
        <v>61.07</v>
      </c>
      <c r="E301">
        <v>109.64</v>
      </c>
      <c r="F301">
        <v>95.74</v>
      </c>
      <c r="G301">
        <v>69.73</v>
      </c>
      <c r="H301">
        <v>46.94</v>
      </c>
      <c r="I301">
        <v>12.2</v>
      </c>
      <c r="J301">
        <v>0.77</v>
      </c>
      <c r="K301">
        <v>1.98</v>
      </c>
      <c r="L301">
        <v>27.1</v>
      </c>
    </row>
    <row r="302" spans="1:12" x14ac:dyDescent="0.25">
      <c r="A302">
        <v>2017</v>
      </c>
      <c r="B302" t="s">
        <v>12</v>
      </c>
      <c r="C302" s="1">
        <v>16968</v>
      </c>
      <c r="D302">
        <v>38.979999999999997</v>
      </c>
      <c r="E302">
        <v>70.8</v>
      </c>
      <c r="F302">
        <v>72.59</v>
      </c>
      <c r="G302">
        <v>75.45</v>
      </c>
      <c r="H302">
        <v>43.64</v>
      </c>
      <c r="I302">
        <v>9.1</v>
      </c>
      <c r="J302">
        <v>0.54</v>
      </c>
      <c r="K302">
        <v>1.56</v>
      </c>
      <c r="L302">
        <v>28.2</v>
      </c>
    </row>
    <row r="303" spans="1:12" x14ac:dyDescent="0.25">
      <c r="A303">
        <v>2017</v>
      </c>
      <c r="B303" t="s">
        <v>13</v>
      </c>
      <c r="C303" s="1">
        <v>24278</v>
      </c>
      <c r="D303">
        <v>52.67</v>
      </c>
      <c r="E303">
        <v>86.97</v>
      </c>
      <c r="F303">
        <v>84.63</v>
      </c>
      <c r="G303">
        <v>77.069999999999993</v>
      </c>
      <c r="H303">
        <v>48.25</v>
      </c>
      <c r="I303">
        <v>12.51</v>
      </c>
      <c r="J303">
        <v>0.61</v>
      </c>
      <c r="K303">
        <v>1.81</v>
      </c>
      <c r="L303">
        <v>27.8</v>
      </c>
    </row>
    <row r="304" spans="1:12" x14ac:dyDescent="0.25">
      <c r="A304">
        <v>2017</v>
      </c>
      <c r="B304" t="s">
        <v>14</v>
      </c>
      <c r="C304" s="1">
        <v>18034</v>
      </c>
      <c r="D304">
        <v>40.53</v>
      </c>
      <c r="E304">
        <v>72.599999999999994</v>
      </c>
      <c r="F304">
        <v>79.239999999999995</v>
      </c>
      <c r="G304">
        <v>70.25</v>
      </c>
      <c r="H304">
        <v>40.58</v>
      </c>
      <c r="I304">
        <v>7.55</v>
      </c>
      <c r="J304">
        <v>0.38</v>
      </c>
      <c r="K304">
        <v>1.56</v>
      </c>
      <c r="L304">
        <v>27.9</v>
      </c>
    </row>
    <row r="305" spans="1:12" x14ac:dyDescent="0.25">
      <c r="A305">
        <v>2017</v>
      </c>
      <c r="B305" t="s">
        <v>15</v>
      </c>
      <c r="C305" s="1">
        <v>33508</v>
      </c>
      <c r="D305">
        <v>46.54</v>
      </c>
      <c r="E305">
        <v>82.79</v>
      </c>
      <c r="F305">
        <v>88.64</v>
      </c>
      <c r="G305">
        <v>78.56</v>
      </c>
      <c r="H305">
        <v>45.4</v>
      </c>
      <c r="I305">
        <v>9.93</v>
      </c>
      <c r="J305">
        <v>0.74</v>
      </c>
      <c r="K305">
        <v>1.76</v>
      </c>
      <c r="L305">
        <v>27.9</v>
      </c>
    </row>
    <row r="306" spans="1:12" x14ac:dyDescent="0.25">
      <c r="A306">
        <v>2017</v>
      </c>
      <c r="B306" t="s">
        <v>16</v>
      </c>
      <c r="C306" s="1">
        <v>34537</v>
      </c>
      <c r="D306">
        <v>48.7</v>
      </c>
      <c r="E306">
        <v>84.68</v>
      </c>
      <c r="F306">
        <v>88.03</v>
      </c>
      <c r="G306">
        <v>75.88</v>
      </c>
      <c r="H306">
        <v>43.57</v>
      </c>
      <c r="I306">
        <v>9.7200000000000006</v>
      </c>
      <c r="J306">
        <v>0.56000000000000005</v>
      </c>
      <c r="K306">
        <v>1.76</v>
      </c>
      <c r="L306">
        <v>27.7</v>
      </c>
    </row>
    <row r="307" spans="1:12" x14ac:dyDescent="0.25">
      <c r="A307">
        <v>2017</v>
      </c>
      <c r="B307" t="s">
        <v>17</v>
      </c>
      <c r="C307" s="1">
        <v>308858</v>
      </c>
      <c r="D307">
        <v>48.63</v>
      </c>
      <c r="E307">
        <v>82.68</v>
      </c>
      <c r="F307">
        <v>83.04</v>
      </c>
      <c r="G307">
        <v>82.69</v>
      </c>
      <c r="H307">
        <v>53.59</v>
      </c>
      <c r="I307">
        <v>13.56</v>
      </c>
      <c r="J307">
        <v>0.9</v>
      </c>
      <c r="K307">
        <v>1.83</v>
      </c>
      <c r="L307">
        <v>28.2</v>
      </c>
    </row>
    <row r="308" spans="1:12" x14ac:dyDescent="0.25">
      <c r="A308">
        <v>2018</v>
      </c>
      <c r="B308" t="s">
        <v>1</v>
      </c>
      <c r="C308" s="1">
        <v>605630</v>
      </c>
      <c r="D308">
        <v>43.53</v>
      </c>
      <c r="E308">
        <v>80.319999999999993</v>
      </c>
      <c r="F308">
        <v>82.42</v>
      </c>
      <c r="G308">
        <v>79.91</v>
      </c>
      <c r="H308">
        <v>50.85</v>
      </c>
      <c r="I308">
        <v>12.36</v>
      </c>
      <c r="J308">
        <v>0.8</v>
      </c>
      <c r="K308">
        <v>1.75</v>
      </c>
      <c r="L308">
        <v>28.3</v>
      </c>
    </row>
    <row r="309" spans="1:12" x14ac:dyDescent="0.25">
      <c r="A309">
        <v>2018</v>
      </c>
      <c r="B309" t="s">
        <v>2</v>
      </c>
      <c r="C309" s="1">
        <v>9269</v>
      </c>
      <c r="D309">
        <v>43.8</v>
      </c>
      <c r="E309">
        <v>79.23</v>
      </c>
      <c r="F309">
        <v>87.57</v>
      </c>
      <c r="G309">
        <v>75.05</v>
      </c>
      <c r="H309">
        <v>43.42</v>
      </c>
      <c r="I309">
        <v>8.4499999999999993</v>
      </c>
      <c r="J309">
        <v>0.64</v>
      </c>
      <c r="K309">
        <v>1.69</v>
      </c>
      <c r="L309">
        <v>27.8</v>
      </c>
    </row>
    <row r="310" spans="1:12" x14ac:dyDescent="0.25">
      <c r="A310">
        <v>2018</v>
      </c>
      <c r="B310" t="s">
        <v>3</v>
      </c>
      <c r="C310" s="1">
        <v>5401</v>
      </c>
      <c r="D310">
        <v>44.63</v>
      </c>
      <c r="E310">
        <v>80.56</v>
      </c>
      <c r="F310">
        <v>82.8</v>
      </c>
      <c r="G310">
        <v>71.87</v>
      </c>
      <c r="H310">
        <v>40.130000000000003</v>
      </c>
      <c r="I310">
        <v>7.62</v>
      </c>
      <c r="J310">
        <v>7.0000000000000007E-2</v>
      </c>
      <c r="K310">
        <v>1.64</v>
      </c>
      <c r="L310">
        <v>27.6</v>
      </c>
    </row>
    <row r="311" spans="1:12" x14ac:dyDescent="0.25">
      <c r="A311">
        <v>2018</v>
      </c>
      <c r="B311" t="s">
        <v>4</v>
      </c>
      <c r="C311" s="1">
        <v>13721</v>
      </c>
      <c r="D311">
        <v>45.41</v>
      </c>
      <c r="E311">
        <v>77.69</v>
      </c>
      <c r="F311">
        <v>79.58</v>
      </c>
      <c r="G311">
        <v>75.75</v>
      </c>
      <c r="H311">
        <v>44.93</v>
      </c>
      <c r="I311">
        <v>9.57</v>
      </c>
      <c r="J311">
        <v>0.48</v>
      </c>
      <c r="K311">
        <v>1.67</v>
      </c>
      <c r="L311">
        <v>27.9</v>
      </c>
    </row>
    <row r="312" spans="1:12" x14ac:dyDescent="0.25">
      <c r="A312">
        <v>2018</v>
      </c>
      <c r="B312" t="s">
        <v>5</v>
      </c>
      <c r="C312" s="1">
        <v>90151</v>
      </c>
      <c r="D312">
        <v>38.049999999999997</v>
      </c>
      <c r="E312">
        <v>75.3</v>
      </c>
      <c r="F312">
        <v>82.6</v>
      </c>
      <c r="G312">
        <v>79.709999999999994</v>
      </c>
      <c r="H312">
        <v>49.52</v>
      </c>
      <c r="I312">
        <v>10.84</v>
      </c>
      <c r="J312">
        <v>0.64</v>
      </c>
      <c r="K312">
        <v>1.68</v>
      </c>
      <c r="L312">
        <v>28.4</v>
      </c>
    </row>
    <row r="313" spans="1:12" x14ac:dyDescent="0.25">
      <c r="A313">
        <v>2018</v>
      </c>
      <c r="B313" t="s">
        <v>6</v>
      </c>
      <c r="C313" s="1">
        <v>12573</v>
      </c>
      <c r="D313">
        <v>39.979999999999997</v>
      </c>
      <c r="E313">
        <v>73.89</v>
      </c>
      <c r="F313">
        <v>78.69</v>
      </c>
      <c r="G313">
        <v>74.75</v>
      </c>
      <c r="H313">
        <v>46.85</v>
      </c>
      <c r="I313">
        <v>10.07</v>
      </c>
      <c r="J313">
        <v>0.47</v>
      </c>
      <c r="K313">
        <v>1.62</v>
      </c>
      <c r="L313">
        <v>28.2</v>
      </c>
    </row>
    <row r="314" spans="1:12" x14ac:dyDescent="0.25">
      <c r="A314">
        <v>2018</v>
      </c>
      <c r="B314" t="s">
        <v>7</v>
      </c>
      <c r="C314" s="1">
        <v>9817</v>
      </c>
      <c r="D314">
        <v>40.98</v>
      </c>
      <c r="E314">
        <v>80.53</v>
      </c>
      <c r="F314">
        <v>86.13</v>
      </c>
      <c r="G314">
        <v>79.69</v>
      </c>
      <c r="H314">
        <v>47.88</v>
      </c>
      <c r="I314">
        <v>8.91</v>
      </c>
      <c r="J314">
        <v>0.43</v>
      </c>
      <c r="K314">
        <v>1.72</v>
      </c>
      <c r="L314">
        <v>28.1</v>
      </c>
    </row>
    <row r="315" spans="1:12" x14ac:dyDescent="0.25">
      <c r="A315">
        <v>2018</v>
      </c>
      <c r="B315" t="s">
        <v>8</v>
      </c>
      <c r="C315" s="1">
        <v>7484</v>
      </c>
      <c r="D315">
        <v>62.84</v>
      </c>
      <c r="E315">
        <v>98.11</v>
      </c>
      <c r="F315">
        <v>90.7</v>
      </c>
      <c r="G315">
        <v>74.28</v>
      </c>
      <c r="H315">
        <v>38.17</v>
      </c>
      <c r="I315">
        <v>10.47</v>
      </c>
      <c r="J315">
        <v>0.56999999999999995</v>
      </c>
      <c r="K315">
        <v>1.88</v>
      </c>
      <c r="L315">
        <v>27</v>
      </c>
    </row>
    <row r="316" spans="1:12" x14ac:dyDescent="0.25">
      <c r="A316">
        <v>2018</v>
      </c>
      <c r="B316" t="s">
        <v>9</v>
      </c>
      <c r="C316" s="1">
        <v>12354</v>
      </c>
      <c r="D316">
        <v>48.59</v>
      </c>
      <c r="E316">
        <v>81.7</v>
      </c>
      <c r="F316">
        <v>87.58</v>
      </c>
      <c r="G316">
        <v>76.930000000000007</v>
      </c>
      <c r="H316">
        <v>44.27</v>
      </c>
      <c r="I316">
        <v>9.5500000000000007</v>
      </c>
      <c r="J316">
        <v>0.54</v>
      </c>
      <c r="K316">
        <v>1.75</v>
      </c>
      <c r="L316">
        <v>27.7</v>
      </c>
    </row>
    <row r="317" spans="1:12" x14ac:dyDescent="0.25">
      <c r="A317">
        <v>2018</v>
      </c>
      <c r="B317" t="s">
        <v>10</v>
      </c>
      <c r="C317" s="1">
        <v>10227</v>
      </c>
      <c r="D317">
        <v>42.28</v>
      </c>
      <c r="E317">
        <v>80.81</v>
      </c>
      <c r="F317">
        <v>84.58</v>
      </c>
      <c r="G317">
        <v>75.28</v>
      </c>
      <c r="H317">
        <v>46.83</v>
      </c>
      <c r="I317">
        <v>9.4600000000000009</v>
      </c>
      <c r="J317">
        <v>0.56000000000000005</v>
      </c>
      <c r="K317">
        <v>1.7</v>
      </c>
      <c r="L317">
        <v>28</v>
      </c>
    </row>
    <row r="318" spans="1:12" x14ac:dyDescent="0.25">
      <c r="A318">
        <v>2018</v>
      </c>
      <c r="B318" t="s">
        <v>11</v>
      </c>
      <c r="C318" s="1">
        <v>4045</v>
      </c>
      <c r="D318">
        <v>68.59</v>
      </c>
      <c r="E318">
        <v>110.98</v>
      </c>
      <c r="F318">
        <v>93.67</v>
      </c>
      <c r="G318">
        <v>73.44</v>
      </c>
      <c r="H318">
        <v>50.02</v>
      </c>
      <c r="I318">
        <v>13.09</v>
      </c>
      <c r="J318">
        <v>0.33</v>
      </c>
      <c r="K318">
        <v>2.0499999999999998</v>
      </c>
      <c r="L318">
        <v>27.1</v>
      </c>
    </row>
    <row r="319" spans="1:12" x14ac:dyDescent="0.25">
      <c r="A319">
        <v>2018</v>
      </c>
      <c r="B319" t="s">
        <v>12</v>
      </c>
      <c r="C319" s="1">
        <v>17001</v>
      </c>
      <c r="D319">
        <v>36.950000000000003</v>
      </c>
      <c r="E319">
        <v>67.790000000000006</v>
      </c>
      <c r="F319">
        <v>73.44</v>
      </c>
      <c r="G319">
        <v>75.12</v>
      </c>
      <c r="H319">
        <v>46.96</v>
      </c>
      <c r="I319">
        <v>10.02</v>
      </c>
      <c r="J319">
        <v>0.62</v>
      </c>
      <c r="K319">
        <v>1.55</v>
      </c>
      <c r="L319">
        <v>28.5</v>
      </c>
    </row>
    <row r="320" spans="1:12" x14ac:dyDescent="0.25">
      <c r="A320">
        <v>2018</v>
      </c>
      <c r="B320" t="s">
        <v>13</v>
      </c>
      <c r="C320" s="1">
        <v>23968</v>
      </c>
      <c r="D320">
        <v>48.02</v>
      </c>
      <c r="E320">
        <v>85.29</v>
      </c>
      <c r="F320">
        <v>83.61</v>
      </c>
      <c r="G320">
        <v>78.47</v>
      </c>
      <c r="H320">
        <v>49.95</v>
      </c>
      <c r="I320">
        <v>12.78</v>
      </c>
      <c r="J320">
        <v>0.97</v>
      </c>
      <c r="K320">
        <v>1.8</v>
      </c>
      <c r="L320">
        <v>28</v>
      </c>
    </row>
    <row r="321" spans="1:12" x14ac:dyDescent="0.25">
      <c r="A321">
        <v>2018</v>
      </c>
      <c r="B321" t="s">
        <v>14</v>
      </c>
      <c r="C321" s="1">
        <v>18224</v>
      </c>
      <c r="D321">
        <v>37.090000000000003</v>
      </c>
      <c r="E321">
        <v>72.010000000000005</v>
      </c>
      <c r="F321">
        <v>78.89</v>
      </c>
      <c r="G321">
        <v>73.11</v>
      </c>
      <c r="H321">
        <v>43.63</v>
      </c>
      <c r="I321">
        <v>8.94</v>
      </c>
      <c r="J321">
        <v>0.43</v>
      </c>
      <c r="K321">
        <v>1.57</v>
      </c>
      <c r="L321">
        <v>28.2</v>
      </c>
    </row>
    <row r="322" spans="1:12" x14ac:dyDescent="0.25">
      <c r="A322">
        <v>2018</v>
      </c>
      <c r="B322" t="s">
        <v>15</v>
      </c>
      <c r="C322" s="1">
        <v>33630</v>
      </c>
      <c r="D322">
        <v>42.91</v>
      </c>
      <c r="E322">
        <v>84.67</v>
      </c>
      <c r="F322">
        <v>86.92</v>
      </c>
      <c r="G322">
        <v>78.599999999999994</v>
      </c>
      <c r="H322">
        <v>49.22</v>
      </c>
      <c r="I322">
        <v>12.09</v>
      </c>
      <c r="J322">
        <v>0.55000000000000004</v>
      </c>
      <c r="K322">
        <v>1.77</v>
      </c>
      <c r="L322">
        <v>28.1</v>
      </c>
    </row>
    <row r="323" spans="1:12" x14ac:dyDescent="0.25">
      <c r="A323">
        <v>2018</v>
      </c>
      <c r="B323" t="s">
        <v>16</v>
      </c>
      <c r="C323" s="1">
        <v>34615</v>
      </c>
      <c r="D323">
        <v>44.8</v>
      </c>
      <c r="E323">
        <v>84.95</v>
      </c>
      <c r="F323">
        <v>85.75</v>
      </c>
      <c r="G323">
        <v>77.61</v>
      </c>
      <c r="H323">
        <v>46.92</v>
      </c>
      <c r="I323">
        <v>10.51</v>
      </c>
      <c r="J323">
        <v>0.79</v>
      </c>
      <c r="K323">
        <v>1.76</v>
      </c>
      <c r="L323">
        <v>27.9</v>
      </c>
    </row>
    <row r="324" spans="1:12" x14ac:dyDescent="0.25">
      <c r="A324">
        <v>2018</v>
      </c>
      <c r="B324" t="s">
        <v>17</v>
      </c>
      <c r="C324" s="1">
        <v>302919</v>
      </c>
      <c r="D324">
        <v>44.71</v>
      </c>
      <c r="E324">
        <v>81.430000000000007</v>
      </c>
      <c r="F324">
        <v>81.61</v>
      </c>
      <c r="G324">
        <v>82.53</v>
      </c>
      <c r="H324">
        <v>54.47</v>
      </c>
      <c r="I324">
        <v>14.3</v>
      </c>
      <c r="J324">
        <v>1.01</v>
      </c>
      <c r="K324">
        <v>1.8</v>
      </c>
      <c r="L324">
        <v>28.4</v>
      </c>
    </row>
    <row r="325" spans="1:12" x14ac:dyDescent="0.25">
      <c r="A325">
        <v>2019</v>
      </c>
      <c r="B325" t="s">
        <v>1</v>
      </c>
      <c r="C325" s="1">
        <v>580222</v>
      </c>
      <c r="D325">
        <v>39.56</v>
      </c>
      <c r="E325">
        <v>78.52</v>
      </c>
      <c r="F325">
        <v>79.44</v>
      </c>
      <c r="G325">
        <v>77.069999999999993</v>
      </c>
      <c r="H325">
        <v>49.2</v>
      </c>
      <c r="I325">
        <v>12.73</v>
      </c>
      <c r="J325">
        <v>0.82</v>
      </c>
      <c r="K325">
        <v>1.69</v>
      </c>
      <c r="L325">
        <v>28.4</v>
      </c>
    </row>
    <row r="326" spans="1:12" x14ac:dyDescent="0.25">
      <c r="A326">
        <v>2019</v>
      </c>
      <c r="B326" t="s">
        <v>2</v>
      </c>
      <c r="C326" s="1">
        <v>8779</v>
      </c>
      <c r="D326">
        <v>38.619999999999997</v>
      </c>
      <c r="E326">
        <v>80.59</v>
      </c>
      <c r="F326">
        <v>81.27</v>
      </c>
      <c r="G326">
        <v>69.400000000000006</v>
      </c>
      <c r="H326">
        <v>42.59</v>
      </c>
      <c r="I326">
        <v>10.25</v>
      </c>
      <c r="J326">
        <v>0.53</v>
      </c>
      <c r="K326">
        <v>1.62</v>
      </c>
      <c r="L326">
        <v>28</v>
      </c>
    </row>
    <row r="327" spans="1:12" x14ac:dyDescent="0.25">
      <c r="A327">
        <v>2019</v>
      </c>
      <c r="B327" t="s">
        <v>3</v>
      </c>
      <c r="C327" s="1">
        <v>5246</v>
      </c>
      <c r="D327">
        <v>43.48</v>
      </c>
      <c r="E327">
        <v>76.42</v>
      </c>
      <c r="F327">
        <v>78.19</v>
      </c>
      <c r="G327">
        <v>72.97</v>
      </c>
      <c r="H327">
        <v>40.67</v>
      </c>
      <c r="I327">
        <v>7.35</v>
      </c>
      <c r="J327">
        <v>0.65</v>
      </c>
      <c r="K327">
        <v>1.6</v>
      </c>
      <c r="L327">
        <v>27.7</v>
      </c>
    </row>
    <row r="328" spans="1:12" x14ac:dyDescent="0.25">
      <c r="A328">
        <v>2019</v>
      </c>
      <c r="B328" t="s">
        <v>4</v>
      </c>
      <c r="C328" s="1">
        <v>13056</v>
      </c>
      <c r="D328">
        <v>40.229999999999997</v>
      </c>
      <c r="E328">
        <v>75.8</v>
      </c>
      <c r="F328">
        <v>76.099999999999994</v>
      </c>
      <c r="G328">
        <v>71.81</v>
      </c>
      <c r="H328">
        <v>44.5</v>
      </c>
      <c r="I328">
        <v>10.59</v>
      </c>
      <c r="J328">
        <v>0.46</v>
      </c>
      <c r="K328">
        <v>1.6</v>
      </c>
      <c r="L328">
        <v>28.1</v>
      </c>
    </row>
    <row r="329" spans="1:12" x14ac:dyDescent="0.25">
      <c r="A329">
        <v>2019</v>
      </c>
      <c r="B329" t="s">
        <v>5</v>
      </c>
      <c r="C329" s="1">
        <v>85944</v>
      </c>
      <c r="D329">
        <v>34.71</v>
      </c>
      <c r="E329">
        <v>73.14</v>
      </c>
      <c r="F329">
        <v>79.06</v>
      </c>
      <c r="G329">
        <v>76.17</v>
      </c>
      <c r="H329">
        <v>46.75</v>
      </c>
      <c r="I329">
        <v>11.07</v>
      </c>
      <c r="J329">
        <v>0.66</v>
      </c>
      <c r="K329">
        <v>1.61</v>
      </c>
      <c r="L329">
        <v>28.5</v>
      </c>
    </row>
    <row r="330" spans="1:12" x14ac:dyDescent="0.25">
      <c r="A330">
        <v>2019</v>
      </c>
      <c r="B330" t="s">
        <v>6</v>
      </c>
      <c r="C330" s="1">
        <v>11770</v>
      </c>
      <c r="D330">
        <v>36.17</v>
      </c>
      <c r="E330">
        <v>70.209999999999994</v>
      </c>
      <c r="F330">
        <v>75.08</v>
      </c>
      <c r="G330">
        <v>70.62</v>
      </c>
      <c r="H330">
        <v>43.9</v>
      </c>
      <c r="I330">
        <v>9.4700000000000006</v>
      </c>
      <c r="J330">
        <v>0.49</v>
      </c>
      <c r="K330">
        <v>1.53</v>
      </c>
      <c r="L330">
        <v>28.3</v>
      </c>
    </row>
    <row r="331" spans="1:12" x14ac:dyDescent="0.25">
      <c r="A331">
        <v>2019</v>
      </c>
      <c r="B331" t="s">
        <v>7</v>
      </c>
      <c r="C331" s="1">
        <v>9324</v>
      </c>
      <c r="D331">
        <v>37.39</v>
      </c>
      <c r="E331">
        <v>76.319999999999993</v>
      </c>
      <c r="F331">
        <v>84.43</v>
      </c>
      <c r="G331">
        <v>75.05</v>
      </c>
      <c r="H331">
        <v>44.88</v>
      </c>
      <c r="I331">
        <v>10.53</v>
      </c>
      <c r="J331">
        <v>0.47</v>
      </c>
      <c r="K331">
        <v>1.65</v>
      </c>
      <c r="L331">
        <v>28.2</v>
      </c>
    </row>
    <row r="332" spans="1:12" x14ac:dyDescent="0.25">
      <c r="A332">
        <v>2019</v>
      </c>
      <c r="B332" t="s">
        <v>8</v>
      </c>
      <c r="C332" s="1">
        <v>7445</v>
      </c>
      <c r="D332">
        <v>55.64</v>
      </c>
      <c r="E332">
        <v>103.1</v>
      </c>
      <c r="F332">
        <v>92.16</v>
      </c>
      <c r="G332">
        <v>74.760000000000005</v>
      </c>
      <c r="H332">
        <v>40.229999999999997</v>
      </c>
      <c r="I332">
        <v>9.84</v>
      </c>
      <c r="J332">
        <v>0.51</v>
      </c>
      <c r="K332">
        <v>1.88</v>
      </c>
      <c r="L332">
        <v>27.1</v>
      </c>
    </row>
    <row r="333" spans="1:12" x14ac:dyDescent="0.25">
      <c r="A333">
        <v>2019</v>
      </c>
      <c r="B333" t="s">
        <v>9</v>
      </c>
      <c r="C333" s="1">
        <v>11835</v>
      </c>
      <c r="D333">
        <v>40.520000000000003</v>
      </c>
      <c r="E333">
        <v>79.069999999999993</v>
      </c>
      <c r="F333">
        <v>85.4</v>
      </c>
      <c r="G333">
        <v>77.28</v>
      </c>
      <c r="H333">
        <v>44.08</v>
      </c>
      <c r="I333">
        <v>10.1</v>
      </c>
      <c r="J333">
        <v>0.43</v>
      </c>
      <c r="K333">
        <v>1.68</v>
      </c>
      <c r="L333">
        <v>28.1</v>
      </c>
    </row>
    <row r="334" spans="1:12" x14ac:dyDescent="0.25">
      <c r="A334">
        <v>2019</v>
      </c>
      <c r="B334" t="s">
        <v>10</v>
      </c>
      <c r="C334" s="1">
        <v>9798</v>
      </c>
      <c r="D334">
        <v>39.409999999999997</v>
      </c>
      <c r="E334">
        <v>78.040000000000006</v>
      </c>
      <c r="F334">
        <v>81.09</v>
      </c>
      <c r="G334">
        <v>76.489999999999995</v>
      </c>
      <c r="H334">
        <v>43.31</v>
      </c>
      <c r="I334">
        <v>10.06</v>
      </c>
      <c r="J334">
        <v>0.36</v>
      </c>
      <c r="K334">
        <v>1.64</v>
      </c>
      <c r="L334">
        <v>28.1</v>
      </c>
    </row>
    <row r="335" spans="1:12" x14ac:dyDescent="0.25">
      <c r="A335">
        <v>2019</v>
      </c>
      <c r="B335" t="s">
        <v>11</v>
      </c>
      <c r="C335" s="1">
        <v>3726</v>
      </c>
      <c r="D335">
        <v>53.37</v>
      </c>
      <c r="E335">
        <v>108.45</v>
      </c>
      <c r="F335">
        <v>89.84</v>
      </c>
      <c r="G335">
        <v>74.5</v>
      </c>
      <c r="H335">
        <v>46.33</v>
      </c>
      <c r="I335">
        <v>12.1</v>
      </c>
      <c r="J335">
        <v>0.75</v>
      </c>
      <c r="K335">
        <v>1.93</v>
      </c>
      <c r="L335">
        <v>27.4</v>
      </c>
    </row>
    <row r="336" spans="1:12" x14ac:dyDescent="0.25">
      <c r="A336">
        <v>2019</v>
      </c>
      <c r="B336" t="s">
        <v>12</v>
      </c>
      <c r="C336" s="1">
        <v>16612</v>
      </c>
      <c r="D336">
        <v>34.03</v>
      </c>
      <c r="E336">
        <v>66.86</v>
      </c>
      <c r="F336">
        <v>71.459999999999994</v>
      </c>
      <c r="G336">
        <v>72.88</v>
      </c>
      <c r="H336">
        <v>47.18</v>
      </c>
      <c r="I336">
        <v>11.12</v>
      </c>
      <c r="J336">
        <v>0.74</v>
      </c>
      <c r="K336">
        <v>1.52</v>
      </c>
      <c r="L336">
        <v>28.6</v>
      </c>
    </row>
    <row r="337" spans="1:12" x14ac:dyDescent="0.25">
      <c r="A337">
        <v>2019</v>
      </c>
      <c r="B337" t="s">
        <v>13</v>
      </c>
      <c r="C337" s="1">
        <v>22526</v>
      </c>
      <c r="D337">
        <v>42.97</v>
      </c>
      <c r="E337">
        <v>83.31</v>
      </c>
      <c r="F337">
        <v>78.39</v>
      </c>
      <c r="G337">
        <v>73.05</v>
      </c>
      <c r="H337">
        <v>48.28</v>
      </c>
      <c r="I337">
        <v>12.74</v>
      </c>
      <c r="J337">
        <v>0.9</v>
      </c>
      <c r="K337">
        <v>1.7</v>
      </c>
      <c r="L337">
        <v>28.1</v>
      </c>
    </row>
    <row r="338" spans="1:12" x14ac:dyDescent="0.25">
      <c r="A338">
        <v>2019</v>
      </c>
      <c r="B338" t="s">
        <v>14</v>
      </c>
      <c r="C338" s="1">
        <v>18052</v>
      </c>
      <c r="D338">
        <v>35.25</v>
      </c>
      <c r="E338">
        <v>73.989999999999995</v>
      </c>
      <c r="F338">
        <v>77.53</v>
      </c>
      <c r="G338">
        <v>73.930000000000007</v>
      </c>
      <c r="H338">
        <v>42.29</v>
      </c>
      <c r="I338">
        <v>8.68</v>
      </c>
      <c r="J338">
        <v>0.49</v>
      </c>
      <c r="K338">
        <v>1.56</v>
      </c>
      <c r="L338">
        <v>28.2</v>
      </c>
    </row>
    <row r="339" spans="1:12" x14ac:dyDescent="0.25">
      <c r="A339">
        <v>2019</v>
      </c>
      <c r="B339" t="s">
        <v>15</v>
      </c>
      <c r="C339" s="1">
        <v>32027</v>
      </c>
      <c r="D339">
        <v>39.69</v>
      </c>
      <c r="E339">
        <v>81.099999999999994</v>
      </c>
      <c r="F339">
        <v>83.53</v>
      </c>
      <c r="G339">
        <v>75.58</v>
      </c>
      <c r="H339">
        <v>47.25</v>
      </c>
      <c r="I339">
        <v>11.53</v>
      </c>
      <c r="J339">
        <v>0.82</v>
      </c>
      <c r="K339">
        <v>1.7</v>
      </c>
      <c r="L339">
        <v>28.2</v>
      </c>
    </row>
    <row r="340" spans="1:12" x14ac:dyDescent="0.25">
      <c r="A340">
        <v>2019</v>
      </c>
      <c r="B340" t="s">
        <v>16</v>
      </c>
      <c r="C340" s="1">
        <v>33204</v>
      </c>
      <c r="D340">
        <v>41.14</v>
      </c>
      <c r="E340">
        <v>80.86</v>
      </c>
      <c r="F340">
        <v>82.53</v>
      </c>
      <c r="G340">
        <v>74.38</v>
      </c>
      <c r="H340">
        <v>44.69</v>
      </c>
      <c r="I340">
        <v>11.71</v>
      </c>
      <c r="J340">
        <v>0.9</v>
      </c>
      <c r="K340">
        <v>1.68</v>
      </c>
      <c r="L340">
        <v>28.1</v>
      </c>
    </row>
    <row r="341" spans="1:12" x14ac:dyDescent="0.25">
      <c r="A341">
        <v>2019</v>
      </c>
      <c r="B341" t="s">
        <v>17</v>
      </c>
      <c r="C341" s="1">
        <v>290603</v>
      </c>
      <c r="D341">
        <v>40.71</v>
      </c>
      <c r="E341">
        <v>79.930000000000007</v>
      </c>
      <c r="F341">
        <v>78.92</v>
      </c>
      <c r="G341">
        <v>79.69</v>
      </c>
      <c r="H341">
        <v>53.08</v>
      </c>
      <c r="I341">
        <v>14.73</v>
      </c>
      <c r="J341">
        <v>0.98</v>
      </c>
      <c r="K341">
        <v>1.74</v>
      </c>
      <c r="L341">
        <v>28.5</v>
      </c>
    </row>
    <row r="342" spans="1:12" x14ac:dyDescent="0.25">
      <c r="A342">
        <v>2020</v>
      </c>
      <c r="B342" t="s">
        <v>1</v>
      </c>
      <c r="C342" s="1">
        <v>550181</v>
      </c>
      <c r="D342">
        <v>35.79</v>
      </c>
      <c r="E342">
        <v>75.91</v>
      </c>
      <c r="F342">
        <v>77.790000000000006</v>
      </c>
      <c r="G342">
        <v>72.78</v>
      </c>
      <c r="H342">
        <v>46.49</v>
      </c>
      <c r="I342">
        <v>12.49</v>
      </c>
      <c r="J342">
        <v>0.8</v>
      </c>
      <c r="K342">
        <v>1.61</v>
      </c>
      <c r="L342">
        <v>28.4</v>
      </c>
    </row>
    <row r="343" spans="1:12" x14ac:dyDescent="0.25">
      <c r="A343">
        <v>2020</v>
      </c>
      <c r="B343" t="s">
        <v>2</v>
      </c>
      <c r="C343" s="1">
        <v>8188</v>
      </c>
      <c r="D343">
        <v>34.75</v>
      </c>
      <c r="E343">
        <v>71.34</v>
      </c>
      <c r="F343">
        <v>77.42</v>
      </c>
      <c r="G343">
        <v>68.010000000000005</v>
      </c>
      <c r="H343">
        <v>40.700000000000003</v>
      </c>
      <c r="I343">
        <v>10.63</v>
      </c>
      <c r="J343">
        <v>0.92</v>
      </c>
      <c r="K343">
        <v>1.52</v>
      </c>
      <c r="L343">
        <v>28.2</v>
      </c>
    </row>
    <row r="344" spans="1:12" x14ac:dyDescent="0.25">
      <c r="A344">
        <v>2020</v>
      </c>
      <c r="B344" t="s">
        <v>3</v>
      </c>
      <c r="C344" s="1">
        <v>5025</v>
      </c>
      <c r="D344">
        <v>37.11</v>
      </c>
      <c r="E344">
        <v>75.14</v>
      </c>
      <c r="F344">
        <v>81.66</v>
      </c>
      <c r="G344">
        <v>65.790000000000006</v>
      </c>
      <c r="H344">
        <v>39.31</v>
      </c>
      <c r="I344">
        <v>9.27</v>
      </c>
      <c r="J344">
        <v>0.65</v>
      </c>
      <c r="K344">
        <v>1.54</v>
      </c>
      <c r="L344">
        <v>27.9</v>
      </c>
    </row>
    <row r="345" spans="1:12" x14ac:dyDescent="0.25">
      <c r="A345">
        <v>2020</v>
      </c>
      <c r="B345" t="s">
        <v>4</v>
      </c>
      <c r="C345" s="1">
        <v>12685</v>
      </c>
      <c r="D345">
        <v>39.450000000000003</v>
      </c>
      <c r="E345">
        <v>76.62</v>
      </c>
      <c r="F345">
        <v>76.5</v>
      </c>
      <c r="G345">
        <v>67.22</v>
      </c>
      <c r="H345">
        <v>42.54</v>
      </c>
      <c r="I345">
        <v>10.3</v>
      </c>
      <c r="J345">
        <v>0.53</v>
      </c>
      <c r="K345">
        <v>1.57</v>
      </c>
      <c r="L345">
        <v>28</v>
      </c>
    </row>
    <row r="346" spans="1:12" x14ac:dyDescent="0.25">
      <c r="A346">
        <v>2020</v>
      </c>
      <c r="B346" t="s">
        <v>5</v>
      </c>
      <c r="C346" s="1">
        <v>81596</v>
      </c>
      <c r="D346">
        <v>31.11</v>
      </c>
      <c r="E346">
        <v>70.13</v>
      </c>
      <c r="F346">
        <v>76.87</v>
      </c>
      <c r="G346">
        <v>71.36</v>
      </c>
      <c r="H346">
        <v>44.58</v>
      </c>
      <c r="I346">
        <v>11.36</v>
      </c>
      <c r="J346">
        <v>0.69</v>
      </c>
      <c r="K346">
        <v>1.53</v>
      </c>
      <c r="L346">
        <v>28.6</v>
      </c>
    </row>
    <row r="347" spans="1:12" x14ac:dyDescent="0.25">
      <c r="A347">
        <v>2020</v>
      </c>
      <c r="B347" t="s">
        <v>6</v>
      </c>
      <c r="C347" s="1">
        <v>11576</v>
      </c>
      <c r="D347">
        <v>33.619999999999997</v>
      </c>
      <c r="E347">
        <v>68.91</v>
      </c>
      <c r="F347">
        <v>75.14</v>
      </c>
      <c r="G347">
        <v>71.010000000000005</v>
      </c>
      <c r="H347">
        <v>42.83</v>
      </c>
      <c r="I347">
        <v>10.14</v>
      </c>
      <c r="J347">
        <v>0.74</v>
      </c>
      <c r="K347">
        <v>1.51</v>
      </c>
      <c r="L347">
        <v>28.4</v>
      </c>
    </row>
    <row r="348" spans="1:12" x14ac:dyDescent="0.25">
      <c r="A348">
        <v>2020</v>
      </c>
      <c r="B348" t="s">
        <v>7</v>
      </c>
      <c r="C348" s="1">
        <v>9112</v>
      </c>
      <c r="D348">
        <v>33.869999999999997</v>
      </c>
      <c r="E348">
        <v>74.91</v>
      </c>
      <c r="F348">
        <v>82.41</v>
      </c>
      <c r="G348">
        <v>75.36</v>
      </c>
      <c r="H348">
        <v>44.78</v>
      </c>
      <c r="I348">
        <v>9.5</v>
      </c>
      <c r="J348">
        <v>0.5</v>
      </c>
      <c r="K348">
        <v>1.61</v>
      </c>
      <c r="L348">
        <v>28.3</v>
      </c>
    </row>
    <row r="349" spans="1:12" x14ac:dyDescent="0.25">
      <c r="A349">
        <v>2020</v>
      </c>
      <c r="B349" t="s">
        <v>8</v>
      </c>
      <c r="C349" s="1">
        <v>7138</v>
      </c>
      <c r="D349">
        <v>55.71</v>
      </c>
      <c r="E349">
        <v>101.08</v>
      </c>
      <c r="F349">
        <v>88.81</v>
      </c>
      <c r="G349">
        <v>68.55</v>
      </c>
      <c r="H349">
        <v>40.119999999999997</v>
      </c>
      <c r="I349">
        <v>8.8800000000000008</v>
      </c>
      <c r="J349">
        <v>0.9</v>
      </c>
      <c r="K349">
        <v>1.82</v>
      </c>
      <c r="L349">
        <v>27</v>
      </c>
    </row>
    <row r="350" spans="1:12" x14ac:dyDescent="0.25">
      <c r="A350">
        <v>2020</v>
      </c>
      <c r="B350" t="s">
        <v>9</v>
      </c>
      <c r="C350" s="1">
        <v>11414</v>
      </c>
      <c r="D350">
        <v>40.18</v>
      </c>
      <c r="E350">
        <v>79.739999999999995</v>
      </c>
      <c r="F350">
        <v>84.15</v>
      </c>
      <c r="G350">
        <v>72.38</v>
      </c>
      <c r="H350">
        <v>42.36</v>
      </c>
      <c r="I350">
        <v>9.4499999999999993</v>
      </c>
      <c r="J350">
        <v>0.51</v>
      </c>
      <c r="K350">
        <v>1.64</v>
      </c>
      <c r="L350">
        <v>27.9</v>
      </c>
    </row>
    <row r="351" spans="1:12" x14ac:dyDescent="0.25">
      <c r="A351">
        <v>2020</v>
      </c>
      <c r="B351" t="s">
        <v>10</v>
      </c>
      <c r="C351" s="1">
        <v>9480</v>
      </c>
      <c r="D351">
        <v>37.21</v>
      </c>
      <c r="E351">
        <v>76.489999999999995</v>
      </c>
      <c r="F351">
        <v>79.790000000000006</v>
      </c>
      <c r="G351">
        <v>74.88</v>
      </c>
      <c r="H351">
        <v>41.75</v>
      </c>
      <c r="I351">
        <v>11.24</v>
      </c>
      <c r="J351">
        <v>0.75</v>
      </c>
      <c r="K351">
        <v>1.61</v>
      </c>
      <c r="L351">
        <v>28.2</v>
      </c>
    </row>
    <row r="352" spans="1:12" x14ac:dyDescent="0.25">
      <c r="A352">
        <v>2020</v>
      </c>
      <c r="B352" t="s">
        <v>11</v>
      </c>
      <c r="C352" s="1">
        <v>3585</v>
      </c>
      <c r="D352">
        <v>49.51</v>
      </c>
      <c r="E352">
        <v>103.77</v>
      </c>
      <c r="F352">
        <v>93.29</v>
      </c>
      <c r="G352">
        <v>70.400000000000006</v>
      </c>
      <c r="H352">
        <v>46.91</v>
      </c>
      <c r="I352">
        <v>11.93</v>
      </c>
      <c r="J352">
        <v>0.11</v>
      </c>
      <c r="K352">
        <v>1.88</v>
      </c>
      <c r="L352">
        <v>27.5</v>
      </c>
    </row>
    <row r="353" spans="1:12" x14ac:dyDescent="0.25">
      <c r="A353">
        <v>2020</v>
      </c>
      <c r="B353" t="s">
        <v>12</v>
      </c>
      <c r="C353" s="1">
        <v>16069</v>
      </c>
      <c r="D353">
        <v>31.98</v>
      </c>
      <c r="E353">
        <v>64.95</v>
      </c>
      <c r="F353">
        <v>69.540000000000006</v>
      </c>
      <c r="G353">
        <v>72.98</v>
      </c>
      <c r="H353">
        <v>43.92</v>
      </c>
      <c r="I353">
        <v>11</v>
      </c>
      <c r="J353">
        <v>0.59</v>
      </c>
      <c r="K353">
        <v>1.47</v>
      </c>
      <c r="L353">
        <v>28.6</v>
      </c>
    </row>
    <row r="354" spans="1:12" x14ac:dyDescent="0.25">
      <c r="A354">
        <v>2020</v>
      </c>
      <c r="B354" t="s">
        <v>13</v>
      </c>
      <c r="C354" s="1">
        <v>22260</v>
      </c>
      <c r="D354">
        <v>38.31</v>
      </c>
      <c r="E354">
        <v>86.23</v>
      </c>
      <c r="F354">
        <v>83.35</v>
      </c>
      <c r="G354">
        <v>70.48</v>
      </c>
      <c r="H354">
        <v>46.31</v>
      </c>
      <c r="I354">
        <v>13.08</v>
      </c>
      <c r="J354">
        <v>0.73</v>
      </c>
      <c r="K354">
        <v>1.69</v>
      </c>
      <c r="L354">
        <v>28.1</v>
      </c>
    </row>
    <row r="355" spans="1:12" x14ac:dyDescent="0.25">
      <c r="A355">
        <v>2020</v>
      </c>
      <c r="B355" t="s">
        <v>14</v>
      </c>
      <c r="C355" s="1">
        <v>17704</v>
      </c>
      <c r="D355">
        <v>32.51</v>
      </c>
      <c r="E355">
        <v>70.17</v>
      </c>
      <c r="F355">
        <v>80.069999999999993</v>
      </c>
      <c r="G355">
        <v>71.72</v>
      </c>
      <c r="H355">
        <v>41.71</v>
      </c>
      <c r="I355">
        <v>9.57</v>
      </c>
      <c r="J355">
        <v>0.63</v>
      </c>
      <c r="K355">
        <v>1.53</v>
      </c>
      <c r="L355">
        <v>28.3</v>
      </c>
    </row>
    <row r="356" spans="1:12" x14ac:dyDescent="0.25">
      <c r="A356">
        <v>2020</v>
      </c>
      <c r="B356" t="s">
        <v>15</v>
      </c>
      <c r="C356" s="1">
        <v>30901</v>
      </c>
      <c r="D356">
        <v>37.6</v>
      </c>
      <c r="E356">
        <v>79.319999999999993</v>
      </c>
      <c r="F356">
        <v>83.99</v>
      </c>
      <c r="G356">
        <v>72.540000000000006</v>
      </c>
      <c r="H356">
        <v>44.29</v>
      </c>
      <c r="I356">
        <v>11.21</v>
      </c>
      <c r="J356">
        <v>0.61</v>
      </c>
      <c r="K356">
        <v>1.65</v>
      </c>
      <c r="L356">
        <v>28.1</v>
      </c>
    </row>
    <row r="357" spans="1:12" x14ac:dyDescent="0.25">
      <c r="A357">
        <v>2020</v>
      </c>
      <c r="B357" t="s">
        <v>16</v>
      </c>
      <c r="C357" s="1">
        <v>32261</v>
      </c>
      <c r="D357">
        <v>36.96</v>
      </c>
      <c r="E357">
        <v>80.58</v>
      </c>
      <c r="F357">
        <v>81.44</v>
      </c>
      <c r="G357">
        <v>73.03</v>
      </c>
      <c r="H357">
        <v>42</v>
      </c>
      <c r="I357">
        <v>12.17</v>
      </c>
      <c r="J357">
        <v>0.55000000000000004</v>
      </c>
      <c r="K357">
        <v>1.63</v>
      </c>
      <c r="L357">
        <v>28.1</v>
      </c>
    </row>
    <row r="358" spans="1:12" x14ac:dyDescent="0.25">
      <c r="A358">
        <v>2020</v>
      </c>
      <c r="B358" t="s">
        <v>17</v>
      </c>
      <c r="C358" s="1">
        <v>270866</v>
      </c>
      <c r="D358">
        <v>36.14</v>
      </c>
      <c r="E358">
        <v>76.41</v>
      </c>
      <c r="F358">
        <v>76.12</v>
      </c>
      <c r="G358">
        <v>74.09</v>
      </c>
      <c r="H358">
        <v>49.63</v>
      </c>
      <c r="I358">
        <v>14.01</v>
      </c>
      <c r="J358">
        <v>0.95</v>
      </c>
      <c r="K358">
        <v>1.64</v>
      </c>
      <c r="L358">
        <v>28.6</v>
      </c>
    </row>
    <row r="359" spans="1:12" x14ac:dyDescent="0.25">
      <c r="A359">
        <v>2021</v>
      </c>
      <c r="B359" t="s">
        <v>1</v>
      </c>
      <c r="C359" s="1">
        <v>523258</v>
      </c>
      <c r="D359">
        <v>33.07</v>
      </c>
      <c r="E359">
        <v>72.89</v>
      </c>
      <c r="F359">
        <v>76.22</v>
      </c>
      <c r="G359">
        <v>69.22</v>
      </c>
      <c r="H359">
        <v>44.44</v>
      </c>
      <c r="I359">
        <v>12.54</v>
      </c>
      <c r="J359">
        <v>0.77</v>
      </c>
      <c r="K359">
        <v>1.55</v>
      </c>
      <c r="L359">
        <v>28.5</v>
      </c>
    </row>
    <row r="360" spans="1:12" x14ac:dyDescent="0.25">
      <c r="A360">
        <v>2021</v>
      </c>
      <c r="B360" t="s">
        <v>2</v>
      </c>
      <c r="C360" s="1">
        <v>8002</v>
      </c>
      <c r="D360">
        <v>33.520000000000003</v>
      </c>
      <c r="E360">
        <v>71.28</v>
      </c>
      <c r="F360">
        <v>79</v>
      </c>
      <c r="G360">
        <v>67.61</v>
      </c>
      <c r="H360">
        <v>39.08</v>
      </c>
      <c r="I360">
        <v>10.08</v>
      </c>
      <c r="J360">
        <v>0.67</v>
      </c>
      <c r="K360">
        <v>1.51</v>
      </c>
      <c r="L360">
        <v>28.2</v>
      </c>
    </row>
    <row r="361" spans="1:12" x14ac:dyDescent="0.25">
      <c r="A361">
        <v>2021</v>
      </c>
      <c r="B361" t="s">
        <v>3</v>
      </c>
      <c r="C361" s="1">
        <v>4885</v>
      </c>
      <c r="D361">
        <v>35.229999999999997</v>
      </c>
      <c r="E361">
        <v>74.319999999999993</v>
      </c>
      <c r="F361">
        <v>81.290000000000006</v>
      </c>
      <c r="G361">
        <v>64.53</v>
      </c>
      <c r="H361">
        <v>39.07</v>
      </c>
      <c r="I361">
        <v>9.19</v>
      </c>
      <c r="J361">
        <v>0.33</v>
      </c>
      <c r="K361">
        <v>1.52</v>
      </c>
      <c r="L361">
        <v>27.9</v>
      </c>
    </row>
    <row r="362" spans="1:12" x14ac:dyDescent="0.25">
      <c r="A362">
        <v>2021</v>
      </c>
      <c r="B362" t="s">
        <v>4</v>
      </c>
      <c r="C362" s="1">
        <v>12361</v>
      </c>
      <c r="D362">
        <v>36.56</v>
      </c>
      <c r="E362">
        <v>76.930000000000007</v>
      </c>
      <c r="F362">
        <v>76.099999999999994</v>
      </c>
      <c r="G362">
        <v>65.989999999999995</v>
      </c>
      <c r="H362">
        <v>41.07</v>
      </c>
      <c r="I362">
        <v>11.34</v>
      </c>
      <c r="J362">
        <v>0.7</v>
      </c>
      <c r="K362">
        <v>1.54</v>
      </c>
      <c r="L362">
        <v>28.1</v>
      </c>
    </row>
    <row r="363" spans="1:12" x14ac:dyDescent="0.25">
      <c r="A363">
        <v>2021</v>
      </c>
      <c r="B363" t="s">
        <v>5</v>
      </c>
      <c r="C363" s="1">
        <v>78705</v>
      </c>
      <c r="D363">
        <v>29.5</v>
      </c>
      <c r="E363">
        <v>67.45</v>
      </c>
      <c r="F363">
        <v>74.83</v>
      </c>
      <c r="G363">
        <v>69.319999999999993</v>
      </c>
      <c r="H363">
        <v>43.27</v>
      </c>
      <c r="I363">
        <v>11.51</v>
      </c>
      <c r="J363">
        <v>0.64</v>
      </c>
      <c r="K363">
        <v>1.48</v>
      </c>
      <c r="L363">
        <v>28.6</v>
      </c>
    </row>
    <row r="364" spans="1:12" x14ac:dyDescent="0.25">
      <c r="A364">
        <v>2021</v>
      </c>
      <c r="B364" t="s">
        <v>6</v>
      </c>
      <c r="C364" s="1">
        <v>11216</v>
      </c>
      <c r="D364">
        <v>32.42</v>
      </c>
      <c r="E364">
        <v>70.489999999999995</v>
      </c>
      <c r="F364">
        <v>72.41</v>
      </c>
      <c r="G364">
        <v>66.95</v>
      </c>
      <c r="H364">
        <v>40.57</v>
      </c>
      <c r="I364">
        <v>11.63</v>
      </c>
      <c r="J364">
        <v>0.6</v>
      </c>
      <c r="K364">
        <v>1.48</v>
      </c>
      <c r="L364">
        <v>28.3</v>
      </c>
    </row>
    <row r="365" spans="1:12" x14ac:dyDescent="0.25">
      <c r="A365">
        <v>2021</v>
      </c>
      <c r="B365" t="s">
        <v>7</v>
      </c>
      <c r="C365" s="1">
        <v>8580</v>
      </c>
      <c r="D365">
        <v>33.35</v>
      </c>
      <c r="E365">
        <v>71.040000000000006</v>
      </c>
      <c r="F365">
        <v>77.67</v>
      </c>
      <c r="G365">
        <v>70.5</v>
      </c>
      <c r="H365">
        <v>41.38</v>
      </c>
      <c r="I365">
        <v>11.04</v>
      </c>
      <c r="J365">
        <v>0.62</v>
      </c>
      <c r="K365">
        <v>1.53</v>
      </c>
      <c r="L365">
        <v>28.3</v>
      </c>
    </row>
    <row r="366" spans="1:12" x14ac:dyDescent="0.25">
      <c r="A366">
        <v>2021</v>
      </c>
      <c r="B366" t="s">
        <v>8</v>
      </c>
      <c r="C366" s="1">
        <v>6864</v>
      </c>
      <c r="D366">
        <v>44.97</v>
      </c>
      <c r="E366">
        <v>96.51</v>
      </c>
      <c r="F366">
        <v>92.81</v>
      </c>
      <c r="G366">
        <v>69.989999999999995</v>
      </c>
      <c r="H366">
        <v>38.630000000000003</v>
      </c>
      <c r="I366">
        <v>10.81</v>
      </c>
      <c r="J366">
        <v>0.39</v>
      </c>
      <c r="K366">
        <v>1.77</v>
      </c>
      <c r="L366">
        <v>27.4</v>
      </c>
    </row>
    <row r="367" spans="1:12" x14ac:dyDescent="0.25">
      <c r="A367">
        <v>2021</v>
      </c>
      <c r="B367" t="s">
        <v>9</v>
      </c>
      <c r="C367" s="1">
        <v>10865</v>
      </c>
      <c r="D367">
        <v>37.03</v>
      </c>
      <c r="E367">
        <v>74.28</v>
      </c>
      <c r="F367">
        <v>84.31</v>
      </c>
      <c r="G367">
        <v>69.72</v>
      </c>
      <c r="H367">
        <v>40.44</v>
      </c>
      <c r="I367">
        <v>10.55</v>
      </c>
      <c r="J367">
        <v>0.48</v>
      </c>
      <c r="K367">
        <v>1.58</v>
      </c>
      <c r="L367">
        <v>28.1</v>
      </c>
    </row>
    <row r="368" spans="1:12" x14ac:dyDescent="0.25">
      <c r="A368">
        <v>2021</v>
      </c>
      <c r="B368" t="s">
        <v>10</v>
      </c>
      <c r="C368" s="1">
        <v>8940</v>
      </c>
      <c r="D368">
        <v>33.96</v>
      </c>
      <c r="E368">
        <v>73.83</v>
      </c>
      <c r="F368">
        <v>79.150000000000006</v>
      </c>
      <c r="G368">
        <v>67.23</v>
      </c>
      <c r="H368">
        <v>42.11</v>
      </c>
      <c r="I368">
        <v>11.15</v>
      </c>
      <c r="J368">
        <v>0.43</v>
      </c>
      <c r="K368">
        <v>1.54</v>
      </c>
      <c r="L368">
        <v>28.2</v>
      </c>
    </row>
    <row r="369" spans="1:12" x14ac:dyDescent="0.25">
      <c r="A369">
        <v>2021</v>
      </c>
      <c r="B369" t="s">
        <v>11</v>
      </c>
      <c r="C369" s="1">
        <v>3509</v>
      </c>
      <c r="D369">
        <v>52.55</v>
      </c>
      <c r="E369">
        <v>106.95</v>
      </c>
      <c r="F369">
        <v>92.36</v>
      </c>
      <c r="G369">
        <v>68.77</v>
      </c>
      <c r="H369">
        <v>38.869999999999997</v>
      </c>
      <c r="I369">
        <v>13.89</v>
      </c>
      <c r="J369">
        <v>0.64</v>
      </c>
      <c r="K369">
        <v>1.87</v>
      </c>
      <c r="L369">
        <v>27.2</v>
      </c>
    </row>
    <row r="370" spans="1:12" x14ac:dyDescent="0.25">
      <c r="A370">
        <v>2021</v>
      </c>
      <c r="B370" t="s">
        <v>12</v>
      </c>
      <c r="C370" s="1">
        <v>15447</v>
      </c>
      <c r="D370">
        <v>30.05</v>
      </c>
      <c r="E370">
        <v>64.63</v>
      </c>
      <c r="F370">
        <v>70.89</v>
      </c>
      <c r="G370">
        <v>65.11</v>
      </c>
      <c r="H370">
        <v>41.73</v>
      </c>
      <c r="I370">
        <v>11.46</v>
      </c>
      <c r="J370">
        <v>0.77</v>
      </c>
      <c r="K370">
        <v>1.42</v>
      </c>
      <c r="L370">
        <v>28.6</v>
      </c>
    </row>
    <row r="371" spans="1:12" x14ac:dyDescent="0.25">
      <c r="A371">
        <v>2021</v>
      </c>
      <c r="B371" t="s">
        <v>13</v>
      </c>
      <c r="C371" s="1">
        <v>21045</v>
      </c>
      <c r="D371">
        <v>38.299999999999997</v>
      </c>
      <c r="E371">
        <v>79.58</v>
      </c>
      <c r="F371">
        <v>82.81</v>
      </c>
      <c r="G371">
        <v>67.77</v>
      </c>
      <c r="H371">
        <v>41.8</v>
      </c>
      <c r="I371">
        <v>12.96</v>
      </c>
      <c r="J371">
        <v>0.77</v>
      </c>
      <c r="K371">
        <v>1.62</v>
      </c>
      <c r="L371">
        <v>28.1</v>
      </c>
    </row>
    <row r="372" spans="1:12" x14ac:dyDescent="0.25">
      <c r="A372">
        <v>2021</v>
      </c>
      <c r="B372" t="s">
        <v>14</v>
      </c>
      <c r="C372" s="1">
        <v>17007</v>
      </c>
      <c r="D372">
        <v>34.119999999999997</v>
      </c>
      <c r="E372">
        <v>70.22</v>
      </c>
      <c r="F372">
        <v>74.97</v>
      </c>
      <c r="G372">
        <v>67.650000000000006</v>
      </c>
      <c r="H372">
        <v>39.979999999999997</v>
      </c>
      <c r="I372">
        <v>9.59</v>
      </c>
      <c r="J372">
        <v>0.38</v>
      </c>
      <c r="K372">
        <v>1.48</v>
      </c>
      <c r="L372">
        <v>28.2</v>
      </c>
    </row>
    <row r="373" spans="1:12" x14ac:dyDescent="0.25">
      <c r="A373">
        <v>2021</v>
      </c>
      <c r="B373" t="s">
        <v>15</v>
      </c>
      <c r="C373" s="1">
        <v>29839</v>
      </c>
      <c r="D373">
        <v>34.729999999999997</v>
      </c>
      <c r="E373">
        <v>77.290000000000006</v>
      </c>
      <c r="F373">
        <v>80.98</v>
      </c>
      <c r="G373">
        <v>71.819999999999993</v>
      </c>
      <c r="H373">
        <v>43.4</v>
      </c>
      <c r="I373">
        <v>11.59</v>
      </c>
      <c r="J373">
        <v>0.86</v>
      </c>
      <c r="K373">
        <v>1.6</v>
      </c>
      <c r="L373">
        <v>28.3</v>
      </c>
    </row>
    <row r="374" spans="1:12" x14ac:dyDescent="0.25">
      <c r="A374">
        <v>2021</v>
      </c>
      <c r="B374" t="s">
        <v>16</v>
      </c>
      <c r="C374" s="1">
        <v>31325</v>
      </c>
      <c r="D374">
        <v>36.53</v>
      </c>
      <c r="E374">
        <v>79.53</v>
      </c>
      <c r="F374">
        <v>81.52</v>
      </c>
      <c r="G374">
        <v>68.53</v>
      </c>
      <c r="H374">
        <v>40.869999999999997</v>
      </c>
      <c r="I374">
        <v>10.73</v>
      </c>
      <c r="J374">
        <v>0.78</v>
      </c>
      <c r="K374">
        <v>1.59</v>
      </c>
      <c r="L374">
        <v>28</v>
      </c>
    </row>
    <row r="375" spans="1:12" x14ac:dyDescent="0.25">
      <c r="A375">
        <v>2021</v>
      </c>
      <c r="B375" t="s">
        <v>17</v>
      </c>
      <c r="C375" s="1">
        <v>254493</v>
      </c>
      <c r="D375">
        <v>32.200000000000003</v>
      </c>
      <c r="E375">
        <v>72.44</v>
      </c>
      <c r="F375">
        <v>74.37</v>
      </c>
      <c r="G375">
        <v>69.87</v>
      </c>
      <c r="H375">
        <v>47.23</v>
      </c>
      <c r="I375">
        <v>13.91</v>
      </c>
      <c r="J375">
        <v>0.9</v>
      </c>
      <c r="K375">
        <v>1.55</v>
      </c>
      <c r="L375">
        <v>28.7</v>
      </c>
    </row>
    <row r="376" spans="1:12" x14ac:dyDescent="0.25">
      <c r="A376">
        <v>2022</v>
      </c>
      <c r="B376" t="s">
        <v>1</v>
      </c>
      <c r="C376" s="1">
        <v>512601</v>
      </c>
      <c r="D376">
        <v>29.86</v>
      </c>
      <c r="E376">
        <v>71.41</v>
      </c>
      <c r="F376">
        <v>77.95</v>
      </c>
      <c r="G376">
        <v>68.25</v>
      </c>
      <c r="H376">
        <v>44.2</v>
      </c>
      <c r="I376">
        <v>13.04</v>
      </c>
      <c r="J376">
        <v>0.93</v>
      </c>
      <c r="K376">
        <v>1.53</v>
      </c>
      <c r="L376">
        <v>28.6</v>
      </c>
    </row>
    <row r="377" spans="1:12" x14ac:dyDescent="0.25">
      <c r="A377">
        <v>2022</v>
      </c>
      <c r="B377" t="s">
        <v>2</v>
      </c>
      <c r="C377" s="1">
        <v>7578</v>
      </c>
      <c r="D377">
        <v>30.11</v>
      </c>
      <c r="E377">
        <v>69.06</v>
      </c>
      <c r="F377">
        <v>77.349999999999994</v>
      </c>
      <c r="G377">
        <v>64.319999999999993</v>
      </c>
      <c r="H377">
        <v>37.81</v>
      </c>
      <c r="I377">
        <v>10.31</v>
      </c>
      <c r="J377">
        <v>0.53</v>
      </c>
      <c r="K377">
        <v>1.45</v>
      </c>
      <c r="L377">
        <v>28.3</v>
      </c>
    </row>
    <row r="378" spans="1:12" x14ac:dyDescent="0.25">
      <c r="A378">
        <v>2022</v>
      </c>
      <c r="B378" t="s">
        <v>3</v>
      </c>
      <c r="C378" s="1">
        <v>4764</v>
      </c>
      <c r="D378">
        <v>37.21</v>
      </c>
      <c r="E378">
        <v>74.89</v>
      </c>
      <c r="F378">
        <v>77.89</v>
      </c>
      <c r="G378">
        <v>61.87</v>
      </c>
      <c r="H378">
        <v>37.549999999999997</v>
      </c>
      <c r="I378">
        <v>10.19</v>
      </c>
      <c r="J378">
        <v>0.72</v>
      </c>
      <c r="K378">
        <v>1.5</v>
      </c>
      <c r="L378">
        <v>27.9</v>
      </c>
    </row>
    <row r="379" spans="1:12" x14ac:dyDescent="0.25">
      <c r="A379">
        <v>2022</v>
      </c>
      <c r="B379" t="s">
        <v>4</v>
      </c>
      <c r="C379" s="1">
        <v>12408</v>
      </c>
      <c r="D379">
        <v>35.5</v>
      </c>
      <c r="E379">
        <v>77.63</v>
      </c>
      <c r="F379">
        <v>80.2</v>
      </c>
      <c r="G379">
        <v>68.17</v>
      </c>
      <c r="H379">
        <v>40.93</v>
      </c>
      <c r="I379">
        <v>11.02</v>
      </c>
      <c r="J379">
        <v>0.38</v>
      </c>
      <c r="K379">
        <v>1.57</v>
      </c>
      <c r="L379">
        <v>28.1</v>
      </c>
    </row>
    <row r="380" spans="1:12" x14ac:dyDescent="0.25">
      <c r="A380">
        <v>2022</v>
      </c>
      <c r="B380" t="s">
        <v>5</v>
      </c>
      <c r="C380" s="1">
        <v>79481</v>
      </c>
      <c r="D380">
        <v>28.14</v>
      </c>
      <c r="E380">
        <v>69.28</v>
      </c>
      <c r="F380">
        <v>78.67</v>
      </c>
      <c r="G380">
        <v>68.63</v>
      </c>
      <c r="H380">
        <v>43.81</v>
      </c>
      <c r="I380">
        <v>12.03</v>
      </c>
      <c r="J380">
        <v>0.78</v>
      </c>
      <c r="K380">
        <v>1.51</v>
      </c>
      <c r="L380">
        <v>28.7</v>
      </c>
    </row>
    <row r="381" spans="1:12" x14ac:dyDescent="0.25">
      <c r="A381">
        <v>2022</v>
      </c>
      <c r="B381" t="s">
        <v>6</v>
      </c>
      <c r="C381" s="1">
        <v>10701</v>
      </c>
      <c r="D381">
        <v>29.86</v>
      </c>
      <c r="E381">
        <v>66.97</v>
      </c>
      <c r="F381">
        <v>73.459999999999994</v>
      </c>
      <c r="G381">
        <v>65.5</v>
      </c>
      <c r="H381">
        <v>36.770000000000003</v>
      </c>
      <c r="I381">
        <v>11.66</v>
      </c>
      <c r="J381">
        <v>0.79</v>
      </c>
      <c r="K381">
        <v>1.43</v>
      </c>
      <c r="L381">
        <v>28.4</v>
      </c>
    </row>
    <row r="382" spans="1:12" x14ac:dyDescent="0.25">
      <c r="A382">
        <v>2022</v>
      </c>
      <c r="B382" t="s">
        <v>7</v>
      </c>
      <c r="C382" s="1">
        <v>8539</v>
      </c>
      <c r="D382">
        <v>31.45</v>
      </c>
      <c r="E382">
        <v>72.5</v>
      </c>
      <c r="F382">
        <v>81.58</v>
      </c>
      <c r="G382">
        <v>70.3</v>
      </c>
      <c r="H382">
        <v>41.59</v>
      </c>
      <c r="I382">
        <v>11.22</v>
      </c>
      <c r="J382">
        <v>0.66</v>
      </c>
      <c r="K382">
        <v>1.55</v>
      </c>
      <c r="L382">
        <v>28.4</v>
      </c>
    </row>
    <row r="383" spans="1:12" x14ac:dyDescent="0.25">
      <c r="A383">
        <v>2022</v>
      </c>
      <c r="B383" t="s">
        <v>8</v>
      </c>
      <c r="C383" s="1">
        <v>6708</v>
      </c>
      <c r="D383">
        <v>45.61</v>
      </c>
      <c r="E383">
        <v>91.3</v>
      </c>
      <c r="F383">
        <v>93.02</v>
      </c>
      <c r="G383">
        <v>68.349999999999994</v>
      </c>
      <c r="H383">
        <v>40.67</v>
      </c>
      <c r="I383">
        <v>11.39</v>
      </c>
      <c r="J383">
        <v>0.5</v>
      </c>
      <c r="K383">
        <v>1.75</v>
      </c>
      <c r="L383">
        <v>27.5</v>
      </c>
    </row>
    <row r="384" spans="1:12" x14ac:dyDescent="0.25">
      <c r="A384">
        <v>2022</v>
      </c>
      <c r="B384" t="s">
        <v>9</v>
      </c>
      <c r="C384" s="1">
        <v>10677</v>
      </c>
      <c r="D384">
        <v>34.76</v>
      </c>
      <c r="E384">
        <v>78.400000000000006</v>
      </c>
      <c r="F384">
        <v>83.42</v>
      </c>
      <c r="G384">
        <v>67.849999999999994</v>
      </c>
      <c r="H384">
        <v>40.049999999999997</v>
      </c>
      <c r="I384">
        <v>10.98</v>
      </c>
      <c r="J384">
        <v>0.66</v>
      </c>
      <c r="K384">
        <v>1.58</v>
      </c>
      <c r="L384">
        <v>28.1</v>
      </c>
    </row>
    <row r="385" spans="1:12" x14ac:dyDescent="0.25">
      <c r="A385">
        <v>2022</v>
      </c>
      <c r="B385" t="s">
        <v>10</v>
      </c>
      <c r="C385" s="1">
        <v>8820</v>
      </c>
      <c r="D385">
        <v>32.11</v>
      </c>
      <c r="E385">
        <v>70.459999999999994</v>
      </c>
      <c r="F385">
        <v>80.28</v>
      </c>
      <c r="G385">
        <v>70.599999999999994</v>
      </c>
      <c r="H385">
        <v>43.61</v>
      </c>
      <c r="I385">
        <v>9.9</v>
      </c>
      <c r="J385">
        <v>0.73</v>
      </c>
      <c r="K385">
        <v>1.54</v>
      </c>
      <c r="L385">
        <v>28.4</v>
      </c>
    </row>
    <row r="386" spans="1:12" x14ac:dyDescent="0.25">
      <c r="A386">
        <v>2022</v>
      </c>
      <c r="B386" t="s">
        <v>11</v>
      </c>
      <c r="C386" s="1">
        <v>3232</v>
      </c>
      <c r="D386">
        <v>46.25</v>
      </c>
      <c r="E386">
        <v>92.3</v>
      </c>
      <c r="F386">
        <v>90.53</v>
      </c>
      <c r="G386">
        <v>68.34</v>
      </c>
      <c r="H386">
        <v>38.700000000000003</v>
      </c>
      <c r="I386">
        <v>13.39</v>
      </c>
      <c r="J386">
        <v>0.95</v>
      </c>
      <c r="K386">
        <v>1.75</v>
      </c>
      <c r="L386">
        <v>27.6</v>
      </c>
    </row>
    <row r="387" spans="1:12" x14ac:dyDescent="0.25">
      <c r="A387">
        <v>2022</v>
      </c>
      <c r="B387" t="s">
        <v>12</v>
      </c>
      <c r="C387" s="1">
        <v>15547</v>
      </c>
      <c r="D387">
        <v>26.56</v>
      </c>
      <c r="E387">
        <v>63.71</v>
      </c>
      <c r="F387">
        <v>73.45</v>
      </c>
      <c r="G387">
        <v>67.7</v>
      </c>
      <c r="H387">
        <v>42.05</v>
      </c>
      <c r="I387">
        <v>12.66</v>
      </c>
      <c r="J387">
        <v>0.95</v>
      </c>
      <c r="K387">
        <v>1.44</v>
      </c>
      <c r="L387">
        <v>28.8</v>
      </c>
    </row>
    <row r="388" spans="1:12" x14ac:dyDescent="0.25">
      <c r="A388">
        <v>2022</v>
      </c>
      <c r="B388" t="s">
        <v>13</v>
      </c>
      <c r="C388" s="1">
        <v>20420</v>
      </c>
      <c r="D388">
        <v>31.17</v>
      </c>
      <c r="E388">
        <v>77.47</v>
      </c>
      <c r="F388">
        <v>82.73</v>
      </c>
      <c r="G388">
        <v>67.91</v>
      </c>
      <c r="H388">
        <v>42.6</v>
      </c>
      <c r="I388">
        <v>14.04</v>
      </c>
      <c r="J388">
        <v>0.89</v>
      </c>
      <c r="K388">
        <v>1.58</v>
      </c>
      <c r="L388">
        <v>28.4</v>
      </c>
    </row>
    <row r="389" spans="1:12" x14ac:dyDescent="0.25">
      <c r="A389">
        <v>2022</v>
      </c>
      <c r="B389" t="s">
        <v>14</v>
      </c>
      <c r="C389" s="1">
        <v>16648</v>
      </c>
      <c r="D389">
        <v>29.26</v>
      </c>
      <c r="E389">
        <v>69.91</v>
      </c>
      <c r="F389">
        <v>75.31</v>
      </c>
      <c r="G389">
        <v>66.89</v>
      </c>
      <c r="H389">
        <v>39.9</v>
      </c>
      <c r="I389">
        <v>10.16</v>
      </c>
      <c r="J389">
        <v>0.73</v>
      </c>
      <c r="K389">
        <v>1.46</v>
      </c>
      <c r="L389">
        <v>28.4</v>
      </c>
    </row>
    <row r="390" spans="1:12" x14ac:dyDescent="0.25">
      <c r="A390">
        <v>2022</v>
      </c>
      <c r="B390" t="s">
        <v>15</v>
      </c>
      <c r="C390" s="1">
        <v>29026</v>
      </c>
      <c r="D390">
        <v>30.94</v>
      </c>
      <c r="E390">
        <v>74.319999999999993</v>
      </c>
      <c r="F390">
        <v>82.9</v>
      </c>
      <c r="G390">
        <v>69.84</v>
      </c>
      <c r="H390">
        <v>43.32</v>
      </c>
      <c r="I390">
        <v>12.17</v>
      </c>
      <c r="J390">
        <v>0.81</v>
      </c>
      <c r="K390">
        <v>1.57</v>
      </c>
      <c r="L390">
        <v>28.5</v>
      </c>
    </row>
    <row r="391" spans="1:12" x14ac:dyDescent="0.25">
      <c r="A391">
        <v>2022</v>
      </c>
      <c r="B391" t="s">
        <v>16</v>
      </c>
      <c r="C391" s="1">
        <v>31707</v>
      </c>
      <c r="D391">
        <v>33.6</v>
      </c>
      <c r="E391">
        <v>79.709999999999994</v>
      </c>
      <c r="F391">
        <v>84.89</v>
      </c>
      <c r="G391">
        <v>69.03</v>
      </c>
      <c r="H391">
        <v>42.56</v>
      </c>
      <c r="I391">
        <v>12.04</v>
      </c>
      <c r="J391">
        <v>1.01</v>
      </c>
      <c r="K391">
        <v>1.61</v>
      </c>
      <c r="L391">
        <v>28.2</v>
      </c>
    </row>
    <row r="392" spans="1:12" x14ac:dyDescent="0.25">
      <c r="A392">
        <v>2022</v>
      </c>
      <c r="B392" t="s">
        <v>17</v>
      </c>
      <c r="C392" s="1">
        <v>246157</v>
      </c>
      <c r="D392">
        <v>28.49</v>
      </c>
      <c r="E392">
        <v>69.75</v>
      </c>
      <c r="F392">
        <v>75.62</v>
      </c>
      <c r="G392">
        <v>68.260000000000005</v>
      </c>
      <c r="H392">
        <v>46.47</v>
      </c>
      <c r="I392">
        <v>14.34</v>
      </c>
      <c r="J392">
        <v>1.08</v>
      </c>
      <c r="K392">
        <v>1.52</v>
      </c>
      <c r="L392">
        <v>28.8</v>
      </c>
    </row>
    <row r="393" spans="1:12" x14ac:dyDescent="0.25">
      <c r="A393">
        <v>2023</v>
      </c>
      <c r="B393" t="s">
        <v>1</v>
      </c>
      <c r="C393" s="1">
        <v>503393</v>
      </c>
      <c r="D393">
        <v>29.12</v>
      </c>
      <c r="E393">
        <v>70.08</v>
      </c>
      <c r="F393">
        <v>79.77</v>
      </c>
      <c r="G393">
        <v>67.349999999999994</v>
      </c>
      <c r="H393">
        <v>42.98</v>
      </c>
      <c r="I393">
        <v>12.88</v>
      </c>
      <c r="J393">
        <v>0.89</v>
      </c>
      <c r="K393">
        <v>1.52</v>
      </c>
      <c r="L393">
        <v>28.6</v>
      </c>
    </row>
    <row r="394" spans="1:12" x14ac:dyDescent="0.25">
      <c r="A394">
        <v>2023</v>
      </c>
      <c r="B394" t="s">
        <v>2</v>
      </c>
      <c r="C394" s="1">
        <v>7585</v>
      </c>
      <c r="D394">
        <v>29.77</v>
      </c>
      <c r="E394">
        <v>69.5</v>
      </c>
      <c r="F394">
        <v>80.22</v>
      </c>
      <c r="G394">
        <v>64.94</v>
      </c>
      <c r="H394">
        <v>38.56</v>
      </c>
      <c r="I394">
        <v>10.25</v>
      </c>
      <c r="J394">
        <v>0.39</v>
      </c>
      <c r="K394">
        <v>1.47</v>
      </c>
      <c r="L394">
        <v>28.3</v>
      </c>
    </row>
    <row r="395" spans="1:12" x14ac:dyDescent="0.25">
      <c r="A395">
        <v>2023</v>
      </c>
      <c r="B395" t="s">
        <v>3</v>
      </c>
      <c r="C395" s="1">
        <v>4763</v>
      </c>
      <c r="D395">
        <v>36.450000000000003</v>
      </c>
      <c r="E395">
        <v>75.41</v>
      </c>
      <c r="F395">
        <v>78.349999999999994</v>
      </c>
      <c r="G395">
        <v>63.23</v>
      </c>
      <c r="H395">
        <v>39.729999999999997</v>
      </c>
      <c r="I395">
        <v>9.6</v>
      </c>
      <c r="J395">
        <v>0.52</v>
      </c>
      <c r="K395">
        <v>1.52</v>
      </c>
      <c r="L395">
        <v>27.9</v>
      </c>
    </row>
    <row r="396" spans="1:12" x14ac:dyDescent="0.25">
      <c r="A396">
        <v>2023</v>
      </c>
      <c r="B396" t="s">
        <v>4</v>
      </c>
      <c r="C396" s="1">
        <v>12284</v>
      </c>
      <c r="D396">
        <v>34.61</v>
      </c>
      <c r="E396">
        <v>74.64</v>
      </c>
      <c r="F396">
        <v>82.3</v>
      </c>
      <c r="G396">
        <v>68.16</v>
      </c>
      <c r="H396">
        <v>41.55</v>
      </c>
      <c r="I396">
        <v>11.51</v>
      </c>
      <c r="J396">
        <v>0.55000000000000004</v>
      </c>
      <c r="K396">
        <v>1.57</v>
      </c>
      <c r="L396">
        <v>28.2</v>
      </c>
    </row>
    <row r="397" spans="1:12" x14ac:dyDescent="0.25">
      <c r="A397">
        <v>2023</v>
      </c>
      <c r="B397" t="s">
        <v>5</v>
      </c>
      <c r="C397" s="1">
        <v>78186</v>
      </c>
      <c r="D397">
        <v>27.42</v>
      </c>
      <c r="E397">
        <v>67.760000000000005</v>
      </c>
      <c r="F397">
        <v>79.489999999999995</v>
      </c>
      <c r="G397">
        <v>67.59</v>
      </c>
      <c r="H397">
        <v>42.78</v>
      </c>
      <c r="I397">
        <v>12.01</v>
      </c>
      <c r="J397">
        <v>0.9</v>
      </c>
      <c r="K397">
        <v>1.49</v>
      </c>
      <c r="L397">
        <v>28.7</v>
      </c>
    </row>
    <row r="398" spans="1:12" x14ac:dyDescent="0.25">
      <c r="A398">
        <v>2023</v>
      </c>
      <c r="B398" t="s">
        <v>6</v>
      </c>
      <c r="C398" s="1">
        <v>10645</v>
      </c>
      <c r="D398">
        <v>28.2</v>
      </c>
      <c r="E398">
        <v>64.58</v>
      </c>
      <c r="F398">
        <v>75.58</v>
      </c>
      <c r="G398">
        <v>64.430000000000007</v>
      </c>
      <c r="H398">
        <v>40.659999999999997</v>
      </c>
      <c r="I398">
        <v>11.03</v>
      </c>
      <c r="J398">
        <v>0.49</v>
      </c>
      <c r="K398">
        <v>1.42</v>
      </c>
      <c r="L398">
        <v>28.5</v>
      </c>
    </row>
    <row r="399" spans="1:12" x14ac:dyDescent="0.25">
      <c r="A399">
        <v>2023</v>
      </c>
      <c r="B399" t="s">
        <v>7</v>
      </c>
      <c r="C399" s="1">
        <v>8539</v>
      </c>
      <c r="D399">
        <v>29.67</v>
      </c>
      <c r="E399">
        <v>71.260000000000005</v>
      </c>
      <c r="F399">
        <v>85.8</v>
      </c>
      <c r="G399">
        <v>71.41</v>
      </c>
      <c r="H399">
        <v>41.07</v>
      </c>
      <c r="I399">
        <v>11.93</v>
      </c>
      <c r="J399">
        <v>0.77</v>
      </c>
      <c r="K399">
        <v>1.56</v>
      </c>
      <c r="L399">
        <v>28.5</v>
      </c>
    </row>
    <row r="400" spans="1:12" x14ac:dyDescent="0.25">
      <c r="A400">
        <v>2023</v>
      </c>
      <c r="B400" t="s">
        <v>8</v>
      </c>
      <c r="C400" s="1">
        <v>6701</v>
      </c>
      <c r="D400">
        <v>43.61</v>
      </c>
      <c r="E400">
        <v>97.52</v>
      </c>
      <c r="F400">
        <v>92.91</v>
      </c>
      <c r="G400">
        <v>69.180000000000007</v>
      </c>
      <c r="H400">
        <v>38.590000000000003</v>
      </c>
      <c r="I400">
        <v>11.16</v>
      </c>
      <c r="J400">
        <v>0.78</v>
      </c>
      <c r="K400">
        <v>1.77</v>
      </c>
      <c r="L400">
        <v>27.5</v>
      </c>
    </row>
    <row r="401" spans="1:12" x14ac:dyDescent="0.25">
      <c r="A401">
        <v>2023</v>
      </c>
      <c r="B401" t="s">
        <v>9</v>
      </c>
      <c r="C401" s="1">
        <v>10533</v>
      </c>
      <c r="D401">
        <v>31.26</v>
      </c>
      <c r="E401">
        <v>78.83</v>
      </c>
      <c r="F401">
        <v>84.06</v>
      </c>
      <c r="G401">
        <v>68.58</v>
      </c>
      <c r="H401">
        <v>41.25</v>
      </c>
      <c r="I401">
        <v>10.67</v>
      </c>
      <c r="J401">
        <v>0.8</v>
      </c>
      <c r="K401">
        <v>1.58</v>
      </c>
      <c r="L401">
        <v>28.2</v>
      </c>
    </row>
    <row r="402" spans="1:12" x14ac:dyDescent="0.25">
      <c r="A402">
        <v>2023</v>
      </c>
      <c r="B402" t="s">
        <v>10</v>
      </c>
      <c r="C402" s="1">
        <v>8711</v>
      </c>
      <c r="D402">
        <v>29.18</v>
      </c>
      <c r="E402">
        <v>67.72</v>
      </c>
      <c r="F402">
        <v>83.89</v>
      </c>
      <c r="G402">
        <v>72.27</v>
      </c>
      <c r="H402">
        <v>43.59</v>
      </c>
      <c r="I402">
        <v>10.88</v>
      </c>
      <c r="J402">
        <v>0.6</v>
      </c>
      <c r="K402">
        <v>1.54</v>
      </c>
      <c r="L402">
        <v>28.6</v>
      </c>
    </row>
    <row r="403" spans="1:12" x14ac:dyDescent="0.25">
      <c r="A403">
        <v>2023</v>
      </c>
      <c r="B403" t="s">
        <v>11</v>
      </c>
      <c r="C403" s="1">
        <v>3349</v>
      </c>
      <c r="D403">
        <v>46.76</v>
      </c>
      <c r="E403">
        <v>95.75</v>
      </c>
      <c r="F403">
        <v>97.27</v>
      </c>
      <c r="G403">
        <v>72.260000000000005</v>
      </c>
      <c r="H403">
        <v>40.72</v>
      </c>
      <c r="I403">
        <v>14.73</v>
      </c>
      <c r="J403">
        <v>0.73</v>
      </c>
      <c r="K403">
        <v>1.84</v>
      </c>
      <c r="L403">
        <v>27.7</v>
      </c>
    </row>
    <row r="404" spans="1:12" x14ac:dyDescent="0.25">
      <c r="A404">
        <v>2023</v>
      </c>
      <c r="B404" t="s">
        <v>12</v>
      </c>
      <c r="C404" s="1">
        <v>14818</v>
      </c>
      <c r="D404">
        <v>23.32</v>
      </c>
      <c r="E404">
        <v>59.54</v>
      </c>
      <c r="F404">
        <v>72.88</v>
      </c>
      <c r="G404">
        <v>65.37</v>
      </c>
      <c r="H404">
        <v>40.39</v>
      </c>
      <c r="I404">
        <v>11.7</v>
      </c>
      <c r="J404">
        <v>0.7</v>
      </c>
      <c r="K404">
        <v>1.37</v>
      </c>
      <c r="L404">
        <v>28.9</v>
      </c>
    </row>
    <row r="405" spans="1:12" x14ac:dyDescent="0.25">
      <c r="A405">
        <v>2023</v>
      </c>
      <c r="B405" t="s">
        <v>13</v>
      </c>
      <c r="C405" s="1">
        <v>20157</v>
      </c>
      <c r="D405">
        <v>32.47</v>
      </c>
      <c r="E405">
        <v>74.89</v>
      </c>
      <c r="F405">
        <v>86.44</v>
      </c>
      <c r="G405">
        <v>66.37</v>
      </c>
      <c r="H405">
        <v>42.22</v>
      </c>
      <c r="I405">
        <v>13.11</v>
      </c>
      <c r="J405">
        <v>0.91</v>
      </c>
      <c r="K405">
        <v>1.58</v>
      </c>
      <c r="L405">
        <v>28.4</v>
      </c>
    </row>
    <row r="406" spans="1:12" x14ac:dyDescent="0.25">
      <c r="A406">
        <v>2023</v>
      </c>
      <c r="B406" t="s">
        <v>14</v>
      </c>
      <c r="C406" s="1">
        <v>16611</v>
      </c>
      <c r="D406">
        <v>27.86</v>
      </c>
      <c r="E406">
        <v>67.87</v>
      </c>
      <c r="F406">
        <v>77.12</v>
      </c>
      <c r="G406">
        <v>66.900000000000006</v>
      </c>
      <c r="H406">
        <v>40.61</v>
      </c>
      <c r="I406">
        <v>10.77</v>
      </c>
      <c r="J406">
        <v>0.73</v>
      </c>
      <c r="K406">
        <v>1.46</v>
      </c>
      <c r="L406">
        <v>28.5</v>
      </c>
    </row>
    <row r="407" spans="1:12" x14ac:dyDescent="0.25">
      <c r="A407">
        <v>2023</v>
      </c>
      <c r="B407" t="s">
        <v>15</v>
      </c>
      <c r="C407" s="1">
        <v>28798</v>
      </c>
      <c r="D407">
        <v>30.64</v>
      </c>
      <c r="E407">
        <v>74.069999999999993</v>
      </c>
      <c r="F407">
        <v>86.09</v>
      </c>
      <c r="G407">
        <v>69.12</v>
      </c>
      <c r="H407">
        <v>41.74</v>
      </c>
      <c r="I407">
        <v>12.29</v>
      </c>
      <c r="J407">
        <v>0.88</v>
      </c>
      <c r="K407">
        <v>1.57</v>
      </c>
      <c r="L407">
        <v>28.4</v>
      </c>
    </row>
    <row r="408" spans="1:12" x14ac:dyDescent="0.25">
      <c r="A408">
        <v>2023</v>
      </c>
      <c r="B408" t="s">
        <v>16</v>
      </c>
      <c r="C408" s="1">
        <v>31293</v>
      </c>
      <c r="D408">
        <v>31.87</v>
      </c>
      <c r="E408">
        <v>76.33</v>
      </c>
      <c r="F408">
        <v>86.84</v>
      </c>
      <c r="G408">
        <v>69.41</v>
      </c>
      <c r="H408">
        <v>41.59</v>
      </c>
      <c r="I408">
        <v>12.27</v>
      </c>
      <c r="J408">
        <v>0.67</v>
      </c>
      <c r="K408">
        <v>1.59</v>
      </c>
      <c r="L408">
        <v>28.3</v>
      </c>
    </row>
    <row r="409" spans="1:12" x14ac:dyDescent="0.25">
      <c r="A409">
        <v>2023</v>
      </c>
      <c r="B409" t="s">
        <v>17</v>
      </c>
      <c r="C409" s="1">
        <v>240259</v>
      </c>
      <c r="D409">
        <v>28.12</v>
      </c>
      <c r="E409">
        <v>68.7</v>
      </c>
      <c r="F409">
        <v>77.48</v>
      </c>
      <c r="G409">
        <v>66.849999999999994</v>
      </c>
      <c r="H409">
        <v>44.38</v>
      </c>
      <c r="I409">
        <v>14.03</v>
      </c>
      <c r="J409">
        <v>1.01</v>
      </c>
      <c r="K409">
        <v>1.5</v>
      </c>
      <c r="L409">
        <v>28.8</v>
      </c>
    </row>
    <row r="410" spans="1:12" x14ac:dyDescent="0.25">
      <c r="A410">
        <v>2024</v>
      </c>
      <c r="B410" t="s">
        <v>1</v>
      </c>
      <c r="C410" s="1">
        <v>470873</v>
      </c>
      <c r="D410">
        <v>26.85</v>
      </c>
      <c r="E410">
        <v>65.91</v>
      </c>
      <c r="F410">
        <v>76.86</v>
      </c>
      <c r="G410">
        <v>63.73</v>
      </c>
      <c r="H410">
        <v>40.479999999999997</v>
      </c>
      <c r="I410">
        <v>11.78</v>
      </c>
      <c r="J410">
        <v>0.94</v>
      </c>
      <c r="K410">
        <v>1.43</v>
      </c>
      <c r="L410">
        <v>28.62</v>
      </c>
    </row>
    <row r="411" spans="1:12" x14ac:dyDescent="0.25">
      <c r="A411">
        <v>2024</v>
      </c>
      <c r="B411" t="s">
        <v>2</v>
      </c>
      <c r="C411" s="1">
        <v>7164</v>
      </c>
      <c r="D411">
        <v>28.61</v>
      </c>
      <c r="E411">
        <v>66.08</v>
      </c>
      <c r="F411">
        <v>79.22</v>
      </c>
      <c r="G411">
        <v>63.47</v>
      </c>
      <c r="H411">
        <v>33.67</v>
      </c>
      <c r="I411">
        <v>9.74</v>
      </c>
      <c r="J411">
        <v>0.83</v>
      </c>
      <c r="K411">
        <v>1.41</v>
      </c>
      <c r="L411">
        <v>28.21</v>
      </c>
    </row>
    <row r="412" spans="1:12" x14ac:dyDescent="0.25">
      <c r="A412">
        <v>2024</v>
      </c>
      <c r="B412" t="s">
        <v>3</v>
      </c>
      <c r="C412" s="1">
        <v>4379</v>
      </c>
      <c r="D412">
        <v>30.12</v>
      </c>
      <c r="E412">
        <v>70.680000000000007</v>
      </c>
      <c r="F412">
        <v>76</v>
      </c>
      <c r="G412">
        <v>60.63</v>
      </c>
      <c r="H412">
        <v>34.31</v>
      </c>
      <c r="I412">
        <v>9.6300000000000008</v>
      </c>
      <c r="J412">
        <v>0.33</v>
      </c>
      <c r="K412">
        <v>1.41</v>
      </c>
      <c r="L412">
        <v>28.01</v>
      </c>
    </row>
    <row r="413" spans="1:12" x14ac:dyDescent="0.25">
      <c r="A413">
        <v>2024</v>
      </c>
      <c r="B413" t="s">
        <v>4</v>
      </c>
      <c r="C413" s="1">
        <v>11099</v>
      </c>
      <c r="D413">
        <v>30.35</v>
      </c>
      <c r="E413">
        <v>68</v>
      </c>
      <c r="F413">
        <v>76.66</v>
      </c>
      <c r="G413">
        <v>62.94</v>
      </c>
      <c r="H413">
        <v>37.46</v>
      </c>
      <c r="I413">
        <v>9.83</v>
      </c>
      <c r="J413">
        <v>0.92</v>
      </c>
      <c r="K413">
        <v>1.43</v>
      </c>
      <c r="L413">
        <v>28.24</v>
      </c>
    </row>
    <row r="414" spans="1:12" x14ac:dyDescent="0.25">
      <c r="A414">
        <v>2024</v>
      </c>
      <c r="B414" t="s">
        <v>5</v>
      </c>
      <c r="C414" s="1">
        <v>72828</v>
      </c>
      <c r="D414">
        <v>25.07</v>
      </c>
      <c r="E414">
        <v>63.33</v>
      </c>
      <c r="F414">
        <v>75.010000000000005</v>
      </c>
      <c r="G414">
        <v>64.2</v>
      </c>
      <c r="H414">
        <v>40.06</v>
      </c>
      <c r="I414">
        <v>10.85</v>
      </c>
      <c r="J414">
        <v>0.77</v>
      </c>
      <c r="K414">
        <v>1.4</v>
      </c>
      <c r="L414">
        <v>28.69</v>
      </c>
    </row>
    <row r="415" spans="1:12" x14ac:dyDescent="0.25">
      <c r="A415">
        <v>2024</v>
      </c>
      <c r="B415" t="s">
        <v>6</v>
      </c>
      <c r="C415" s="1">
        <v>9870</v>
      </c>
      <c r="D415">
        <v>27.02</v>
      </c>
      <c r="E415">
        <v>60.52</v>
      </c>
      <c r="F415">
        <v>71.569999999999993</v>
      </c>
      <c r="G415">
        <v>59.62</v>
      </c>
      <c r="H415">
        <v>37.270000000000003</v>
      </c>
      <c r="I415">
        <v>10.45</v>
      </c>
      <c r="J415">
        <v>0.81</v>
      </c>
      <c r="K415">
        <v>1.34</v>
      </c>
      <c r="L415">
        <v>28.51</v>
      </c>
    </row>
    <row r="416" spans="1:12" x14ac:dyDescent="0.25">
      <c r="A416">
        <v>2024</v>
      </c>
      <c r="B416" t="s">
        <v>7</v>
      </c>
      <c r="C416" s="1">
        <v>7874</v>
      </c>
      <c r="D416">
        <v>27.29</v>
      </c>
      <c r="E416">
        <v>66.88</v>
      </c>
      <c r="F416">
        <v>80.52</v>
      </c>
      <c r="G416">
        <v>65.64</v>
      </c>
      <c r="H416">
        <v>38.159999999999997</v>
      </c>
      <c r="I416">
        <v>11.21</v>
      </c>
      <c r="J416">
        <v>0.57999999999999996</v>
      </c>
      <c r="K416">
        <v>1.45</v>
      </c>
      <c r="L416">
        <v>28.47</v>
      </c>
    </row>
    <row r="417" spans="1:12" x14ac:dyDescent="0.25">
      <c r="A417">
        <v>2024</v>
      </c>
      <c r="B417" t="s">
        <v>8</v>
      </c>
      <c r="C417" s="1">
        <v>6349</v>
      </c>
      <c r="D417">
        <v>41.16</v>
      </c>
      <c r="E417">
        <v>85.24</v>
      </c>
      <c r="F417">
        <v>94.77</v>
      </c>
      <c r="G417">
        <v>67.53</v>
      </c>
      <c r="H417">
        <v>37.78</v>
      </c>
      <c r="I417">
        <v>11.32</v>
      </c>
      <c r="J417">
        <v>0.33</v>
      </c>
      <c r="K417">
        <v>1.69</v>
      </c>
      <c r="L417">
        <v>27.66</v>
      </c>
    </row>
    <row r="418" spans="1:12" x14ac:dyDescent="0.25">
      <c r="A418">
        <v>2024</v>
      </c>
      <c r="B418" t="s">
        <v>9</v>
      </c>
      <c r="C418" s="1">
        <v>9868</v>
      </c>
      <c r="D418">
        <v>29.77</v>
      </c>
      <c r="E418">
        <v>71.86</v>
      </c>
      <c r="F418">
        <v>82.3</v>
      </c>
      <c r="G418">
        <v>65.180000000000007</v>
      </c>
      <c r="H418">
        <v>39.29</v>
      </c>
      <c r="I418">
        <v>10.039999999999999</v>
      </c>
      <c r="J418">
        <v>0.8</v>
      </c>
      <c r="K418">
        <v>1.5</v>
      </c>
      <c r="L418">
        <v>28.26</v>
      </c>
    </row>
    <row r="419" spans="1:12" x14ac:dyDescent="0.25">
      <c r="A419">
        <v>2024</v>
      </c>
      <c r="B419" t="s">
        <v>10</v>
      </c>
      <c r="C419" s="1">
        <v>8268</v>
      </c>
      <c r="D419">
        <v>29.2</v>
      </c>
      <c r="E419">
        <v>69.45</v>
      </c>
      <c r="F419">
        <v>80.19</v>
      </c>
      <c r="G419">
        <v>67.239999999999995</v>
      </c>
      <c r="H419">
        <v>40.71</v>
      </c>
      <c r="I419">
        <v>9.86</v>
      </c>
      <c r="J419">
        <v>0.8</v>
      </c>
      <c r="K419">
        <v>1.49</v>
      </c>
      <c r="L419">
        <v>28.4</v>
      </c>
    </row>
    <row r="420" spans="1:12" x14ac:dyDescent="0.25">
      <c r="A420">
        <v>2024</v>
      </c>
      <c r="B420" t="s">
        <v>11</v>
      </c>
      <c r="C420" s="1">
        <v>3087</v>
      </c>
      <c r="D420">
        <v>42.12</v>
      </c>
      <c r="E420">
        <v>85.74</v>
      </c>
      <c r="F420">
        <v>97.02</v>
      </c>
      <c r="G420">
        <v>66.510000000000005</v>
      </c>
      <c r="H420">
        <v>42.51</v>
      </c>
      <c r="I420">
        <v>11.45</v>
      </c>
      <c r="J420">
        <v>1.04</v>
      </c>
      <c r="K420">
        <v>1.73</v>
      </c>
      <c r="L420">
        <v>27.79</v>
      </c>
    </row>
    <row r="421" spans="1:12" x14ac:dyDescent="0.25">
      <c r="A421">
        <v>2024</v>
      </c>
      <c r="B421" t="s">
        <v>12</v>
      </c>
      <c r="C421" s="1">
        <v>14057</v>
      </c>
      <c r="D421">
        <v>22.03</v>
      </c>
      <c r="E421">
        <v>58.52</v>
      </c>
      <c r="F421">
        <v>67.510000000000005</v>
      </c>
      <c r="G421">
        <v>61.73</v>
      </c>
      <c r="H421">
        <v>39.75</v>
      </c>
      <c r="I421">
        <v>10.71</v>
      </c>
      <c r="J421">
        <v>0.76</v>
      </c>
      <c r="K421">
        <v>1.31</v>
      </c>
      <c r="L421">
        <v>28.91</v>
      </c>
    </row>
    <row r="422" spans="1:12" x14ac:dyDescent="0.25">
      <c r="A422">
        <v>2024</v>
      </c>
      <c r="B422" t="s">
        <v>13</v>
      </c>
      <c r="C422" s="1">
        <v>18633</v>
      </c>
      <c r="D422">
        <v>28.63</v>
      </c>
      <c r="E422">
        <v>72.06</v>
      </c>
      <c r="F422">
        <v>83.22</v>
      </c>
      <c r="G422">
        <v>62.11</v>
      </c>
      <c r="H422">
        <v>37.74</v>
      </c>
      <c r="I422">
        <v>11.38</v>
      </c>
      <c r="J422">
        <v>1.28</v>
      </c>
      <c r="K422">
        <v>1.48</v>
      </c>
      <c r="L422">
        <v>28.3</v>
      </c>
    </row>
    <row r="423" spans="1:12" x14ac:dyDescent="0.25">
      <c r="A423">
        <v>2024</v>
      </c>
      <c r="B423" t="s">
        <v>14</v>
      </c>
      <c r="C423" s="1">
        <v>15490</v>
      </c>
      <c r="D423">
        <v>27.33</v>
      </c>
      <c r="E423">
        <v>62.82</v>
      </c>
      <c r="F423">
        <v>74.319999999999993</v>
      </c>
      <c r="G423">
        <v>61.92</v>
      </c>
      <c r="H423">
        <v>37.450000000000003</v>
      </c>
      <c r="I423">
        <v>9.67</v>
      </c>
      <c r="J423">
        <v>0.56999999999999995</v>
      </c>
      <c r="K423">
        <v>1.37</v>
      </c>
      <c r="L423">
        <v>28.42</v>
      </c>
    </row>
    <row r="424" spans="1:12" x14ac:dyDescent="0.25">
      <c r="A424">
        <v>2024</v>
      </c>
      <c r="B424" t="s">
        <v>15</v>
      </c>
      <c r="C424" s="1">
        <v>26675</v>
      </c>
      <c r="D424">
        <v>27.12</v>
      </c>
      <c r="E424">
        <v>69.48</v>
      </c>
      <c r="F424">
        <v>81.58</v>
      </c>
      <c r="G424">
        <v>64.430000000000007</v>
      </c>
      <c r="H424">
        <v>39.94</v>
      </c>
      <c r="I424">
        <v>11.06</v>
      </c>
      <c r="J424">
        <v>0.71</v>
      </c>
      <c r="K424">
        <v>1.47</v>
      </c>
      <c r="L424">
        <v>28.46</v>
      </c>
    </row>
    <row r="425" spans="1:12" x14ac:dyDescent="0.25">
      <c r="A425">
        <v>2024</v>
      </c>
      <c r="B425" t="s">
        <v>16</v>
      </c>
      <c r="C425" s="1">
        <v>29232</v>
      </c>
      <c r="D425">
        <v>30.46</v>
      </c>
      <c r="E425">
        <v>71.42</v>
      </c>
      <c r="F425">
        <v>82.66</v>
      </c>
      <c r="G425">
        <v>63.45</v>
      </c>
      <c r="H425">
        <v>39.08</v>
      </c>
      <c r="I425">
        <v>11.32</v>
      </c>
      <c r="J425">
        <v>0.92</v>
      </c>
      <c r="K425">
        <v>1.5</v>
      </c>
      <c r="L425">
        <v>28.28</v>
      </c>
    </row>
    <row r="426" spans="1:12" x14ac:dyDescent="0.25">
      <c r="A426">
        <v>2024</v>
      </c>
      <c r="B426" t="s">
        <v>17</v>
      </c>
      <c r="C426" s="1">
        <v>225831</v>
      </c>
      <c r="D426">
        <v>25.9</v>
      </c>
      <c r="E426">
        <v>64.77</v>
      </c>
      <c r="F426">
        <v>75.63</v>
      </c>
      <c r="G426">
        <v>63.86</v>
      </c>
      <c r="H426">
        <v>42.15</v>
      </c>
      <c r="I426">
        <v>12.92</v>
      </c>
      <c r="J426">
        <v>1.0900000000000001</v>
      </c>
      <c r="K426">
        <v>1.43</v>
      </c>
      <c r="L426">
        <v>28.8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>
      <selection activeCell="S15" sqref="S15"/>
    </sheetView>
  </sheetViews>
  <sheetFormatPr defaultRowHeight="15" x14ac:dyDescent="0.25"/>
  <cols>
    <col min="1" max="2" width="23" bestFit="1" customWidth="1"/>
    <col min="3" max="3" width="11.7109375" bestFit="1" customWidth="1"/>
    <col min="4" max="4" width="5" bestFit="1" customWidth="1"/>
    <col min="5" max="5" width="8.85546875" bestFit="1" customWidth="1"/>
  </cols>
  <sheetData>
    <row r="2" spans="1:3" x14ac:dyDescent="0.25">
      <c r="A2" s="3" t="s">
        <v>27</v>
      </c>
      <c r="B2" s="3" t="s">
        <v>29</v>
      </c>
      <c r="C2" s="3" t="s">
        <v>30</v>
      </c>
    </row>
    <row r="3" spans="1:3" x14ac:dyDescent="0.25">
      <c r="A3" s="8" t="s">
        <v>2</v>
      </c>
      <c r="B3" s="9">
        <v>9983</v>
      </c>
      <c r="C3" s="9">
        <v>7164</v>
      </c>
    </row>
    <row r="4" spans="1:3" x14ac:dyDescent="0.25">
      <c r="A4" s="5" t="s">
        <v>3</v>
      </c>
      <c r="B4" s="6">
        <v>6055</v>
      </c>
      <c r="C4" s="6">
        <v>4379</v>
      </c>
    </row>
    <row r="5" spans="1:3" x14ac:dyDescent="0.25">
      <c r="A5" s="8" t="s">
        <v>4</v>
      </c>
      <c r="B5" s="9">
        <v>16008</v>
      </c>
      <c r="C5" s="9">
        <v>11099</v>
      </c>
    </row>
    <row r="6" spans="1:3" x14ac:dyDescent="0.25">
      <c r="A6" s="5" t="s">
        <v>5</v>
      </c>
      <c r="B6" s="6">
        <v>91468</v>
      </c>
      <c r="C6" s="6">
        <v>72828</v>
      </c>
    </row>
    <row r="7" spans="1:3" x14ac:dyDescent="0.25">
      <c r="A7" s="8" t="s">
        <v>6</v>
      </c>
      <c r="B7" s="9">
        <v>13170</v>
      </c>
      <c r="C7" s="9">
        <v>9870</v>
      </c>
    </row>
    <row r="8" spans="1:3" x14ac:dyDescent="0.25">
      <c r="A8" s="5" t="s">
        <v>7</v>
      </c>
      <c r="B8" s="6">
        <v>11334</v>
      </c>
      <c r="C8" s="6">
        <v>7874</v>
      </c>
    </row>
    <row r="9" spans="1:3" x14ac:dyDescent="0.25">
      <c r="A9" s="8" t="s">
        <v>8</v>
      </c>
      <c r="B9" s="9">
        <v>10941</v>
      </c>
      <c r="C9" s="9">
        <v>6349</v>
      </c>
    </row>
    <row r="10" spans="1:3" x14ac:dyDescent="0.25">
      <c r="A10" s="5" t="s">
        <v>9</v>
      </c>
      <c r="B10" s="6">
        <v>14607</v>
      </c>
      <c r="C10" s="6">
        <v>9868</v>
      </c>
    </row>
    <row r="11" spans="1:3" x14ac:dyDescent="0.25">
      <c r="A11" s="8" t="s">
        <v>10</v>
      </c>
      <c r="B11" s="9">
        <v>12203</v>
      </c>
      <c r="C11" s="9">
        <v>8268</v>
      </c>
    </row>
    <row r="12" spans="1:3" x14ac:dyDescent="0.25">
      <c r="A12" s="5" t="s">
        <v>11</v>
      </c>
      <c r="B12" s="6">
        <v>5732</v>
      </c>
      <c r="C12" s="6">
        <v>3087</v>
      </c>
    </row>
    <row r="13" spans="1:3" x14ac:dyDescent="0.25">
      <c r="A13" s="8" t="s">
        <v>12</v>
      </c>
      <c r="B13" s="9">
        <v>18190</v>
      </c>
      <c r="C13" s="9">
        <v>14057</v>
      </c>
    </row>
    <row r="14" spans="1:3" x14ac:dyDescent="0.25">
      <c r="A14" s="5" t="s">
        <v>13</v>
      </c>
      <c r="B14" s="6">
        <v>28079</v>
      </c>
      <c r="C14" s="6">
        <v>18633</v>
      </c>
    </row>
    <row r="15" spans="1:3" x14ac:dyDescent="0.25">
      <c r="A15" s="8" t="s">
        <v>14</v>
      </c>
      <c r="B15" s="9">
        <v>18046</v>
      </c>
      <c r="C15" s="9">
        <v>15490</v>
      </c>
    </row>
    <row r="16" spans="1:3" x14ac:dyDescent="0.25">
      <c r="A16" s="5" t="s">
        <v>15</v>
      </c>
      <c r="B16" s="6">
        <v>37358</v>
      </c>
      <c r="C16" s="6">
        <v>26675</v>
      </c>
    </row>
    <row r="17" spans="1:3" x14ac:dyDescent="0.25">
      <c r="A17" s="8" t="s">
        <v>16</v>
      </c>
      <c r="B17" s="9">
        <v>37023</v>
      </c>
      <c r="C17" s="9">
        <v>29232</v>
      </c>
    </row>
    <row r="18" spans="1:3" x14ac:dyDescent="0.25">
      <c r="A18" s="5" t="s">
        <v>17</v>
      </c>
      <c r="B18" s="6">
        <v>367309</v>
      </c>
      <c r="C18" s="6">
        <v>225831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G4" sqref="G4"/>
    </sheetView>
  </sheetViews>
  <sheetFormatPr defaultRowHeight="15" x14ac:dyDescent="0.25"/>
  <cols>
    <col min="1" max="1" width="6.42578125" customWidth="1"/>
    <col min="2" max="2" width="23" bestFit="1" customWidth="1"/>
    <col min="3" max="3" width="18.7109375" customWidth="1"/>
    <col min="5" max="5" width="16.7109375" bestFit="1" customWidth="1"/>
  </cols>
  <sheetData>
    <row r="1" spans="1:5" x14ac:dyDescent="0.25">
      <c r="A1" t="s">
        <v>0</v>
      </c>
      <c r="B1" t="s">
        <v>27</v>
      </c>
      <c r="C1" t="s">
        <v>26</v>
      </c>
      <c r="D1" t="s">
        <v>32</v>
      </c>
      <c r="E1" t="s">
        <v>33</v>
      </c>
    </row>
    <row r="2" spans="1:5" x14ac:dyDescent="0.25">
      <c r="A2">
        <v>2024</v>
      </c>
      <c r="B2" t="s">
        <v>1</v>
      </c>
      <c r="C2">
        <v>28.62</v>
      </c>
      <c r="D2">
        <f t="shared" ref="D2:D18" si="0">MAX(C2:C18)</f>
        <v>28.91</v>
      </c>
      <c r="E2" t="str">
        <f t="shared" ref="E2:E18" si="1">_xlfn.XLOOKUP(MAX(C2:C18),C2:C18,B2:B18)</f>
        <v>RA Ribeirão Preto</v>
      </c>
    </row>
    <row r="3" spans="1:5" x14ac:dyDescent="0.25">
      <c r="A3">
        <v>2024</v>
      </c>
      <c r="B3" t="s">
        <v>2</v>
      </c>
      <c r="C3">
        <v>28.21</v>
      </c>
      <c r="D3">
        <f t="shared" si="0"/>
        <v>28.91</v>
      </c>
      <c r="E3" t="str">
        <f t="shared" si="1"/>
        <v>RA Ribeirão Preto</v>
      </c>
    </row>
    <row r="4" spans="1:5" x14ac:dyDescent="0.25">
      <c r="A4">
        <v>2024</v>
      </c>
      <c r="B4" t="s">
        <v>3</v>
      </c>
      <c r="C4">
        <v>28.01</v>
      </c>
      <c r="D4">
        <f t="shared" si="0"/>
        <v>28.91</v>
      </c>
      <c r="E4" t="str">
        <f t="shared" si="1"/>
        <v>RA Ribeirão Preto</v>
      </c>
    </row>
    <row r="5" spans="1:5" x14ac:dyDescent="0.25">
      <c r="A5">
        <v>2024</v>
      </c>
      <c r="B5" t="s">
        <v>4</v>
      </c>
      <c r="C5">
        <v>28.24</v>
      </c>
      <c r="D5">
        <f t="shared" si="0"/>
        <v>28.91</v>
      </c>
      <c r="E5" t="str">
        <f t="shared" si="1"/>
        <v>RA Ribeirão Preto</v>
      </c>
    </row>
    <row r="6" spans="1:5" x14ac:dyDescent="0.25">
      <c r="A6">
        <v>2024</v>
      </c>
      <c r="B6" t="s">
        <v>5</v>
      </c>
      <c r="C6">
        <v>28.69</v>
      </c>
      <c r="D6">
        <f t="shared" si="0"/>
        <v>28.91</v>
      </c>
      <c r="E6" t="str">
        <f t="shared" si="1"/>
        <v>RA Ribeirão Preto</v>
      </c>
    </row>
    <row r="7" spans="1:5" x14ac:dyDescent="0.25">
      <c r="A7">
        <v>2024</v>
      </c>
      <c r="B7" t="s">
        <v>6</v>
      </c>
      <c r="C7">
        <v>28.51</v>
      </c>
      <c r="D7">
        <f t="shared" si="0"/>
        <v>28.91</v>
      </c>
      <c r="E7" t="str">
        <f t="shared" si="1"/>
        <v>RA Ribeirão Preto</v>
      </c>
    </row>
    <row r="8" spans="1:5" x14ac:dyDescent="0.25">
      <c r="A8">
        <v>2024</v>
      </c>
      <c r="B8" t="s">
        <v>7</v>
      </c>
      <c r="C8">
        <v>28.47</v>
      </c>
      <c r="D8">
        <f t="shared" si="0"/>
        <v>28.91</v>
      </c>
      <c r="E8" t="str">
        <f t="shared" si="1"/>
        <v>RA Ribeirão Preto</v>
      </c>
    </row>
    <row r="9" spans="1:5" x14ac:dyDescent="0.25">
      <c r="A9">
        <v>2024</v>
      </c>
      <c r="B9" t="s">
        <v>8</v>
      </c>
      <c r="C9">
        <v>27.66</v>
      </c>
      <c r="D9">
        <f t="shared" si="0"/>
        <v>28.91</v>
      </c>
      <c r="E9" t="str">
        <f t="shared" si="1"/>
        <v>RA Ribeirão Preto</v>
      </c>
    </row>
    <row r="10" spans="1:5" x14ac:dyDescent="0.25">
      <c r="A10">
        <v>2024</v>
      </c>
      <c r="B10" t="s">
        <v>9</v>
      </c>
      <c r="C10">
        <v>28.26</v>
      </c>
      <c r="D10">
        <f t="shared" si="0"/>
        <v>28.91</v>
      </c>
      <c r="E10" t="str">
        <f t="shared" si="1"/>
        <v>RA Ribeirão Preto</v>
      </c>
    </row>
    <row r="11" spans="1:5" x14ac:dyDescent="0.25">
      <c r="A11">
        <v>2024</v>
      </c>
      <c r="B11" t="s">
        <v>10</v>
      </c>
      <c r="C11">
        <v>28.4</v>
      </c>
      <c r="D11">
        <f t="shared" si="0"/>
        <v>28.91</v>
      </c>
      <c r="E11" t="str">
        <f t="shared" si="1"/>
        <v>RA Ribeirão Preto</v>
      </c>
    </row>
    <row r="12" spans="1:5" x14ac:dyDescent="0.25">
      <c r="A12">
        <v>2024</v>
      </c>
      <c r="B12" t="s">
        <v>11</v>
      </c>
      <c r="C12">
        <v>27.79</v>
      </c>
      <c r="D12">
        <f t="shared" si="0"/>
        <v>28.91</v>
      </c>
      <c r="E12" t="str">
        <f t="shared" si="1"/>
        <v>RA Ribeirão Preto</v>
      </c>
    </row>
    <row r="13" spans="1:5" x14ac:dyDescent="0.25">
      <c r="A13">
        <v>2024</v>
      </c>
      <c r="B13" t="s">
        <v>12</v>
      </c>
      <c r="C13">
        <v>28.91</v>
      </c>
      <c r="D13">
        <f t="shared" si="0"/>
        <v>28.91</v>
      </c>
      <c r="E13" t="str">
        <f t="shared" si="1"/>
        <v>RA Ribeirão Preto</v>
      </c>
    </row>
    <row r="14" spans="1:5" x14ac:dyDescent="0.25">
      <c r="A14">
        <v>2024</v>
      </c>
      <c r="B14" t="s">
        <v>13</v>
      </c>
      <c r="C14">
        <v>28.3</v>
      </c>
      <c r="D14">
        <f t="shared" si="0"/>
        <v>28.8</v>
      </c>
      <c r="E14" t="str">
        <f t="shared" si="1"/>
        <v>RM São Paulo</v>
      </c>
    </row>
    <row r="15" spans="1:5" x14ac:dyDescent="0.25">
      <c r="A15">
        <v>2024</v>
      </c>
      <c r="B15" t="s">
        <v>14</v>
      </c>
      <c r="C15">
        <v>28.42</v>
      </c>
      <c r="D15">
        <f t="shared" si="0"/>
        <v>28.8</v>
      </c>
      <c r="E15" t="str">
        <f t="shared" si="1"/>
        <v>RM São Paulo</v>
      </c>
    </row>
    <row r="16" spans="1:5" x14ac:dyDescent="0.25">
      <c r="A16">
        <v>2024</v>
      </c>
      <c r="B16" t="s">
        <v>15</v>
      </c>
      <c r="C16">
        <v>28.46</v>
      </c>
      <c r="D16">
        <f t="shared" si="0"/>
        <v>28.8</v>
      </c>
      <c r="E16" t="str">
        <f t="shared" si="1"/>
        <v>RM São Paulo</v>
      </c>
    </row>
    <row r="17" spans="1:5" x14ac:dyDescent="0.25">
      <c r="A17">
        <v>2024</v>
      </c>
      <c r="B17" t="s">
        <v>16</v>
      </c>
      <c r="C17">
        <v>28.28</v>
      </c>
      <c r="D17">
        <f t="shared" si="0"/>
        <v>28.8</v>
      </c>
      <c r="E17" t="str">
        <f t="shared" si="1"/>
        <v>RM São Paulo</v>
      </c>
    </row>
    <row r="18" spans="1:5" x14ac:dyDescent="0.25">
      <c r="A18">
        <v>2024</v>
      </c>
      <c r="B18" t="s">
        <v>17</v>
      </c>
      <c r="C18">
        <v>28.8</v>
      </c>
      <c r="D18">
        <f t="shared" si="0"/>
        <v>28.8</v>
      </c>
      <c r="E18" t="str">
        <f t="shared" si="1"/>
        <v>RM São Paulo</v>
      </c>
    </row>
  </sheetData>
  <phoneticPr fontId="19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G36" sqref="G36"/>
    </sheetView>
  </sheetViews>
  <sheetFormatPr defaultRowHeight="15" x14ac:dyDescent="0.25"/>
  <cols>
    <col min="1" max="1" width="6.42578125" customWidth="1"/>
    <col min="2" max="2" width="22.7109375" bestFit="1" customWidth="1"/>
    <col min="3" max="3" width="18.7109375" customWidth="1"/>
  </cols>
  <sheetData>
    <row r="1" spans="1:3" x14ac:dyDescent="0.25">
      <c r="A1" t="s">
        <v>0</v>
      </c>
      <c r="B1" t="s">
        <v>27</v>
      </c>
      <c r="C1" t="s">
        <v>26</v>
      </c>
    </row>
    <row r="2" spans="1:3" x14ac:dyDescent="0.25">
      <c r="A2">
        <v>2000</v>
      </c>
      <c r="B2" t="s">
        <v>15</v>
      </c>
      <c r="C2">
        <v>26.3</v>
      </c>
    </row>
    <row r="3" spans="1:3" x14ac:dyDescent="0.25">
      <c r="A3">
        <v>2001</v>
      </c>
      <c r="B3" t="s">
        <v>15</v>
      </c>
      <c r="C3">
        <v>26.5</v>
      </c>
    </row>
    <row r="4" spans="1:3" x14ac:dyDescent="0.25">
      <c r="A4">
        <v>2002</v>
      </c>
      <c r="B4" t="s">
        <v>15</v>
      </c>
      <c r="C4">
        <v>26.5</v>
      </c>
    </row>
    <row r="5" spans="1:3" x14ac:dyDescent="0.25">
      <c r="A5">
        <v>2003</v>
      </c>
      <c r="B5" t="s">
        <v>15</v>
      </c>
      <c r="C5">
        <v>26.6</v>
      </c>
    </row>
    <row r="6" spans="1:3" x14ac:dyDescent="0.25">
      <c r="A6">
        <v>2004</v>
      </c>
      <c r="B6" t="s">
        <v>15</v>
      </c>
      <c r="C6">
        <v>26.7</v>
      </c>
    </row>
    <row r="7" spans="1:3" x14ac:dyDescent="0.25">
      <c r="A7">
        <v>2005</v>
      </c>
      <c r="B7" t="s">
        <v>15</v>
      </c>
      <c r="C7">
        <v>26.7</v>
      </c>
    </row>
    <row r="8" spans="1:3" x14ac:dyDescent="0.25">
      <c r="A8">
        <v>2006</v>
      </c>
      <c r="B8" t="s">
        <v>15</v>
      </c>
      <c r="C8">
        <v>26.7</v>
      </c>
    </row>
    <row r="9" spans="1:3" x14ac:dyDescent="0.25">
      <c r="A9">
        <v>2007</v>
      </c>
      <c r="B9" t="s">
        <v>15</v>
      </c>
      <c r="C9">
        <v>26.8</v>
      </c>
    </row>
    <row r="10" spans="1:3" x14ac:dyDescent="0.25">
      <c r="A10">
        <v>2008</v>
      </c>
      <c r="B10" t="s">
        <v>15</v>
      </c>
      <c r="C10">
        <v>26.9</v>
      </c>
    </row>
    <row r="11" spans="1:3" x14ac:dyDescent="0.25">
      <c r="A11">
        <v>2009</v>
      </c>
      <c r="B11" t="s">
        <v>15</v>
      </c>
      <c r="C11">
        <v>27</v>
      </c>
    </row>
    <row r="12" spans="1:3" x14ac:dyDescent="0.25">
      <c r="A12">
        <v>2010</v>
      </c>
      <c r="B12" t="s">
        <v>15</v>
      </c>
      <c r="C12">
        <v>27.1</v>
      </c>
    </row>
    <row r="13" spans="1:3" x14ac:dyDescent="0.25">
      <c r="A13">
        <v>2011</v>
      </c>
      <c r="B13" t="s">
        <v>15</v>
      </c>
      <c r="C13">
        <v>27.2</v>
      </c>
    </row>
    <row r="14" spans="1:3" x14ac:dyDescent="0.25">
      <c r="A14">
        <v>2012</v>
      </c>
      <c r="B14" t="s">
        <v>15</v>
      </c>
      <c r="C14">
        <v>27.2</v>
      </c>
    </row>
    <row r="15" spans="1:3" x14ac:dyDescent="0.25">
      <c r="A15">
        <v>2013</v>
      </c>
      <c r="B15" t="s">
        <v>15</v>
      </c>
      <c r="C15">
        <v>27.3</v>
      </c>
    </row>
    <row r="16" spans="1:3" x14ac:dyDescent="0.25">
      <c r="A16">
        <v>2014</v>
      </c>
      <c r="B16" t="s">
        <v>15</v>
      </c>
      <c r="C16">
        <v>27.4</v>
      </c>
    </row>
    <row r="17" spans="1:3" x14ac:dyDescent="0.25">
      <c r="A17">
        <v>2015</v>
      </c>
      <c r="B17" t="s">
        <v>15</v>
      </c>
      <c r="C17">
        <v>27.5</v>
      </c>
    </row>
    <row r="18" spans="1:3" x14ac:dyDescent="0.25">
      <c r="A18">
        <v>2016</v>
      </c>
      <c r="B18" t="s">
        <v>15</v>
      </c>
      <c r="C18">
        <v>27.7</v>
      </c>
    </row>
    <row r="19" spans="1:3" x14ac:dyDescent="0.25">
      <c r="A19">
        <v>2017</v>
      </c>
      <c r="B19" t="s">
        <v>15</v>
      </c>
      <c r="C19">
        <v>27.9</v>
      </c>
    </row>
    <row r="20" spans="1:3" x14ac:dyDescent="0.25">
      <c r="A20">
        <v>2018</v>
      </c>
      <c r="B20" t="s">
        <v>15</v>
      </c>
      <c r="C20">
        <v>28.1</v>
      </c>
    </row>
    <row r="21" spans="1:3" x14ac:dyDescent="0.25">
      <c r="A21">
        <v>2019</v>
      </c>
      <c r="B21" t="s">
        <v>15</v>
      </c>
      <c r="C21">
        <v>28.2</v>
      </c>
    </row>
    <row r="22" spans="1:3" x14ac:dyDescent="0.25">
      <c r="A22">
        <v>2020</v>
      </c>
      <c r="B22" t="s">
        <v>15</v>
      </c>
      <c r="C22">
        <v>28.1</v>
      </c>
    </row>
    <row r="23" spans="1:3" x14ac:dyDescent="0.25">
      <c r="A23">
        <v>2021</v>
      </c>
      <c r="B23" t="s">
        <v>15</v>
      </c>
      <c r="C23">
        <v>28.3</v>
      </c>
    </row>
    <row r="24" spans="1:3" x14ac:dyDescent="0.25">
      <c r="A24">
        <v>2022</v>
      </c>
      <c r="B24" t="s">
        <v>15</v>
      </c>
      <c r="C24">
        <v>28.5</v>
      </c>
    </row>
    <row r="25" spans="1:3" x14ac:dyDescent="0.25">
      <c r="A25">
        <v>2023</v>
      </c>
      <c r="B25" t="s">
        <v>15</v>
      </c>
      <c r="C25">
        <v>28.4</v>
      </c>
    </row>
    <row r="26" spans="1:3" x14ac:dyDescent="0.25">
      <c r="A26">
        <v>2024</v>
      </c>
      <c r="B26" t="s">
        <v>15</v>
      </c>
      <c r="C26">
        <v>28.46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P39" sqref="P39"/>
    </sheetView>
  </sheetViews>
  <sheetFormatPr defaultRowHeight="15" x14ac:dyDescent="0.25"/>
  <cols>
    <col min="2" max="2" width="23" bestFit="1" customWidth="1"/>
  </cols>
  <sheetData>
    <row r="1" spans="1:9" x14ac:dyDescent="0.25">
      <c r="A1" s="2" t="s">
        <v>0</v>
      </c>
      <c r="B1" s="3" t="s">
        <v>27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spans="1:9" x14ac:dyDescent="0.25">
      <c r="A2" s="4">
        <v>2005</v>
      </c>
      <c r="B2" s="5" t="s">
        <v>1</v>
      </c>
      <c r="C2" s="5">
        <v>58.53</v>
      </c>
      <c r="D2" s="5">
        <v>95.18</v>
      </c>
      <c r="E2" s="5">
        <v>90.21</v>
      </c>
      <c r="F2" s="5">
        <v>66.959999999999994</v>
      </c>
      <c r="G2" s="5">
        <v>35.07</v>
      </c>
      <c r="H2" s="5">
        <v>9.48</v>
      </c>
      <c r="I2" s="5">
        <v>0.53</v>
      </c>
    </row>
    <row r="3" spans="1:9" x14ac:dyDescent="0.25">
      <c r="A3" s="7">
        <v>2005</v>
      </c>
      <c r="B3" s="8" t="s">
        <v>2</v>
      </c>
      <c r="C3" s="8">
        <v>53.6</v>
      </c>
      <c r="D3" s="8">
        <v>86.06</v>
      </c>
      <c r="E3" s="8">
        <v>78.849999999999994</v>
      </c>
      <c r="F3" s="8">
        <v>52.93</v>
      </c>
      <c r="G3" s="8">
        <v>23.31</v>
      </c>
      <c r="H3" s="8">
        <v>5.79</v>
      </c>
      <c r="I3" s="8">
        <v>0.25</v>
      </c>
    </row>
    <row r="4" spans="1:9" x14ac:dyDescent="0.25">
      <c r="A4" s="4">
        <v>2005</v>
      </c>
      <c r="B4" s="5" t="s">
        <v>3</v>
      </c>
      <c r="C4" s="5">
        <v>66.760000000000005</v>
      </c>
      <c r="D4" s="5">
        <v>100.77</v>
      </c>
      <c r="E4" s="5">
        <v>80.73</v>
      </c>
      <c r="F4" s="5">
        <v>52.09</v>
      </c>
      <c r="G4" s="5">
        <v>24.47</v>
      </c>
      <c r="H4" s="5">
        <v>5.37</v>
      </c>
      <c r="I4" s="5">
        <v>0.39</v>
      </c>
    </row>
    <row r="5" spans="1:9" x14ac:dyDescent="0.25">
      <c r="A5" s="7">
        <v>2005</v>
      </c>
      <c r="B5" s="8" t="s">
        <v>4</v>
      </c>
      <c r="C5" s="8">
        <v>61.86</v>
      </c>
      <c r="D5" s="8">
        <v>94.23</v>
      </c>
      <c r="E5" s="8">
        <v>86.32</v>
      </c>
      <c r="F5" s="8">
        <v>57.93</v>
      </c>
      <c r="G5" s="8">
        <v>27.42</v>
      </c>
      <c r="H5" s="8">
        <v>5.61</v>
      </c>
      <c r="I5" s="8">
        <v>0.21</v>
      </c>
    </row>
    <row r="6" spans="1:9" x14ac:dyDescent="0.25">
      <c r="A6" s="4">
        <v>2005</v>
      </c>
      <c r="B6" s="5" t="s">
        <v>5</v>
      </c>
      <c r="C6" s="5">
        <v>53.12</v>
      </c>
      <c r="D6" s="5">
        <v>88.1</v>
      </c>
      <c r="E6" s="5">
        <v>85.89</v>
      </c>
      <c r="F6" s="5">
        <v>62.33</v>
      </c>
      <c r="G6" s="5">
        <v>30.68</v>
      </c>
      <c r="H6" s="5">
        <v>8.09</v>
      </c>
      <c r="I6" s="5">
        <v>0.4</v>
      </c>
    </row>
    <row r="7" spans="1:9" x14ac:dyDescent="0.25">
      <c r="A7" s="7">
        <v>2005</v>
      </c>
      <c r="B7" s="8" t="s">
        <v>6</v>
      </c>
      <c r="C7" s="8">
        <v>57.06</v>
      </c>
      <c r="D7" s="8">
        <v>88.87</v>
      </c>
      <c r="E7" s="8">
        <v>83.66</v>
      </c>
      <c r="F7" s="8">
        <v>58.05</v>
      </c>
      <c r="G7" s="8">
        <v>26.26</v>
      </c>
      <c r="H7" s="8">
        <v>6.46</v>
      </c>
      <c r="I7" s="8">
        <v>0.31</v>
      </c>
    </row>
    <row r="8" spans="1:9" x14ac:dyDescent="0.25">
      <c r="A8" s="4">
        <v>2005</v>
      </c>
      <c r="B8" s="5" t="s">
        <v>7</v>
      </c>
      <c r="C8" s="5">
        <v>64.61</v>
      </c>
      <c r="D8" s="5">
        <v>104.37</v>
      </c>
      <c r="E8" s="5">
        <v>95.03</v>
      </c>
      <c r="F8" s="5">
        <v>64.239999999999995</v>
      </c>
      <c r="G8" s="5">
        <v>32.26</v>
      </c>
      <c r="H8" s="5">
        <v>8.77</v>
      </c>
      <c r="I8" s="5">
        <v>0.56000000000000005</v>
      </c>
    </row>
    <row r="9" spans="1:9" x14ac:dyDescent="0.25">
      <c r="A9" s="7">
        <v>2005</v>
      </c>
      <c r="B9" s="8" t="s">
        <v>8</v>
      </c>
      <c r="C9" s="8">
        <v>90.82</v>
      </c>
      <c r="D9" s="8">
        <v>135.81</v>
      </c>
      <c r="E9" s="8">
        <v>102.9</v>
      </c>
      <c r="F9" s="8">
        <v>64.430000000000007</v>
      </c>
      <c r="G9" s="8">
        <v>35.04</v>
      </c>
      <c r="H9" s="8">
        <v>12.11</v>
      </c>
      <c r="I9" s="8">
        <v>0.69</v>
      </c>
    </row>
    <row r="10" spans="1:9" x14ac:dyDescent="0.25">
      <c r="A10" s="4">
        <v>2005</v>
      </c>
      <c r="B10" s="5" t="s">
        <v>9</v>
      </c>
      <c r="C10" s="5">
        <v>63.46</v>
      </c>
      <c r="D10" s="5">
        <v>93.32</v>
      </c>
      <c r="E10" s="5">
        <v>91.25</v>
      </c>
      <c r="F10" s="5">
        <v>58.59</v>
      </c>
      <c r="G10" s="5">
        <v>26.96</v>
      </c>
      <c r="H10" s="5">
        <v>5.86</v>
      </c>
      <c r="I10" s="5">
        <v>0.34</v>
      </c>
    </row>
    <row r="11" spans="1:9" x14ac:dyDescent="0.25">
      <c r="A11" s="7">
        <v>2005</v>
      </c>
      <c r="B11" s="8" t="s">
        <v>10</v>
      </c>
      <c r="C11" s="8">
        <v>57.98</v>
      </c>
      <c r="D11" s="8">
        <v>91.37</v>
      </c>
      <c r="E11" s="8">
        <v>87.52</v>
      </c>
      <c r="F11" s="8">
        <v>56.22</v>
      </c>
      <c r="G11" s="8">
        <v>27.53</v>
      </c>
      <c r="H11" s="8">
        <v>7.03</v>
      </c>
      <c r="I11" s="8">
        <v>0.26</v>
      </c>
    </row>
    <row r="12" spans="1:9" x14ac:dyDescent="0.25">
      <c r="A12" s="4">
        <v>2005</v>
      </c>
      <c r="B12" s="5" t="s">
        <v>11</v>
      </c>
      <c r="C12" s="5">
        <v>84.45</v>
      </c>
      <c r="D12" s="5">
        <v>131.12</v>
      </c>
      <c r="E12" s="5">
        <v>111.26</v>
      </c>
      <c r="F12" s="5">
        <v>69.64</v>
      </c>
      <c r="G12" s="5">
        <v>39.770000000000003</v>
      </c>
      <c r="H12" s="5">
        <v>10.95</v>
      </c>
      <c r="I12" s="5">
        <v>0.7</v>
      </c>
    </row>
    <row r="13" spans="1:9" x14ac:dyDescent="0.25">
      <c r="A13" s="7">
        <v>2005</v>
      </c>
      <c r="B13" s="8" t="s">
        <v>12</v>
      </c>
      <c r="C13" s="8">
        <v>57.61</v>
      </c>
      <c r="D13" s="8">
        <v>91.61</v>
      </c>
      <c r="E13" s="8">
        <v>83.73</v>
      </c>
      <c r="F13" s="8">
        <v>63.79</v>
      </c>
      <c r="G13" s="8">
        <v>29.32</v>
      </c>
      <c r="H13" s="8">
        <v>7.44</v>
      </c>
      <c r="I13" s="8">
        <v>0.24</v>
      </c>
    </row>
    <row r="14" spans="1:9" x14ac:dyDescent="0.25">
      <c r="A14" s="4">
        <v>2005</v>
      </c>
      <c r="B14" s="5" t="s">
        <v>13</v>
      </c>
      <c r="C14" s="5">
        <v>63.25</v>
      </c>
      <c r="D14" s="5">
        <v>101.87</v>
      </c>
      <c r="E14" s="5">
        <v>96.43</v>
      </c>
      <c r="F14" s="5">
        <v>69.48</v>
      </c>
      <c r="G14" s="5">
        <v>38</v>
      </c>
      <c r="H14" s="5">
        <v>10.51</v>
      </c>
      <c r="I14" s="5">
        <v>0.66</v>
      </c>
    </row>
    <row r="15" spans="1:9" x14ac:dyDescent="0.25">
      <c r="A15" s="7">
        <v>2005</v>
      </c>
      <c r="B15" s="8" t="s">
        <v>14</v>
      </c>
      <c r="C15" s="8">
        <v>52.63</v>
      </c>
      <c r="D15" s="8">
        <v>82.37</v>
      </c>
      <c r="E15" s="8">
        <v>80.5</v>
      </c>
      <c r="F15" s="8">
        <v>47.72</v>
      </c>
      <c r="G15" s="8">
        <v>22.79</v>
      </c>
      <c r="H15" s="8">
        <v>4.43</v>
      </c>
      <c r="I15" s="8">
        <v>0.15</v>
      </c>
    </row>
    <row r="16" spans="1:9" x14ac:dyDescent="0.25">
      <c r="A16" s="4">
        <v>2005</v>
      </c>
      <c r="B16" s="5" t="s">
        <v>15</v>
      </c>
      <c r="C16" s="5">
        <v>57.56</v>
      </c>
      <c r="D16" s="5">
        <v>100.78</v>
      </c>
      <c r="E16" s="5">
        <v>91.7</v>
      </c>
      <c r="F16" s="5">
        <v>64.39</v>
      </c>
      <c r="G16" s="5">
        <v>31.7</v>
      </c>
      <c r="H16" s="5">
        <v>9.1999999999999993</v>
      </c>
      <c r="I16" s="5">
        <v>0.69</v>
      </c>
    </row>
    <row r="17" spans="1:9" x14ac:dyDescent="0.25">
      <c r="A17" s="7">
        <v>2005</v>
      </c>
      <c r="B17" s="8" t="s">
        <v>16</v>
      </c>
      <c r="C17" s="8">
        <v>62.32</v>
      </c>
      <c r="D17" s="8">
        <v>101.84</v>
      </c>
      <c r="E17" s="8">
        <v>92.32</v>
      </c>
      <c r="F17" s="8">
        <v>62.72</v>
      </c>
      <c r="G17" s="8">
        <v>31.41</v>
      </c>
      <c r="H17" s="8">
        <v>8.49</v>
      </c>
      <c r="I17" s="8">
        <v>0.46</v>
      </c>
    </row>
    <row r="18" spans="1:9" x14ac:dyDescent="0.25">
      <c r="A18" s="4">
        <v>2005</v>
      </c>
      <c r="B18" s="5" t="s">
        <v>17</v>
      </c>
      <c r="C18" s="5">
        <v>58.05</v>
      </c>
      <c r="D18" s="5">
        <v>95.52</v>
      </c>
      <c r="E18" s="5">
        <v>91.97</v>
      </c>
      <c r="F18" s="5">
        <v>72.709999999999994</v>
      </c>
      <c r="G18" s="5">
        <v>40.19</v>
      </c>
      <c r="H18" s="5">
        <v>11.21</v>
      </c>
      <c r="I18" s="5">
        <v>0.65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tabSelected="1" workbookViewId="0">
      <selection activeCell="V8" sqref="V8"/>
    </sheetView>
  </sheetViews>
  <sheetFormatPr defaultRowHeight="15" x14ac:dyDescent="0.25"/>
  <cols>
    <col min="1" max="1" width="6.42578125" customWidth="1"/>
    <col min="2" max="2" width="23" bestFit="1" customWidth="1"/>
    <col min="3" max="3" width="9.42578125" customWidth="1"/>
    <col min="10" max="10" width="12.28515625" customWidth="1"/>
  </cols>
  <sheetData>
    <row r="1" spans="1:10" x14ac:dyDescent="0.25">
      <c r="A1" t="s">
        <v>0</v>
      </c>
      <c r="B1" t="s">
        <v>27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s="10" t="s">
        <v>31</v>
      </c>
    </row>
    <row r="2" spans="1:10" x14ac:dyDescent="0.25">
      <c r="A2">
        <v>2020</v>
      </c>
      <c r="B2" t="s">
        <v>2</v>
      </c>
      <c r="C2">
        <v>34.75</v>
      </c>
      <c r="D2">
        <v>71.34</v>
      </c>
      <c r="E2">
        <v>77.42</v>
      </c>
      <c r="F2">
        <v>68.010000000000005</v>
      </c>
      <c r="G2">
        <v>40.700000000000003</v>
      </c>
      <c r="H2">
        <v>10.63</v>
      </c>
      <c r="I2">
        <v>0.92</v>
      </c>
      <c r="J2">
        <f>SUBTOTAL(9,Tabela6[[#This Row],[ 15 a 19]:[45 a 49]])</f>
        <v>303.77</v>
      </c>
    </row>
    <row r="3" spans="1:10" x14ac:dyDescent="0.25">
      <c r="A3">
        <v>2020</v>
      </c>
      <c r="B3" t="s">
        <v>3</v>
      </c>
      <c r="C3">
        <v>37.11</v>
      </c>
      <c r="D3">
        <v>75.14</v>
      </c>
      <c r="E3">
        <v>81.66</v>
      </c>
      <c r="F3">
        <v>65.790000000000006</v>
      </c>
      <c r="G3">
        <v>39.31</v>
      </c>
      <c r="H3">
        <v>9.27</v>
      </c>
      <c r="I3">
        <v>0.65</v>
      </c>
      <c r="J3">
        <f>SUBTOTAL(9,Tabela6[[#This Row],[ 15 a 19]:[45 a 49]])</f>
        <v>308.92999999999995</v>
      </c>
    </row>
    <row r="4" spans="1:10" x14ac:dyDescent="0.25">
      <c r="A4">
        <v>2020</v>
      </c>
      <c r="B4" t="s">
        <v>4</v>
      </c>
      <c r="C4">
        <v>39.450000000000003</v>
      </c>
      <c r="D4">
        <v>76.62</v>
      </c>
      <c r="E4">
        <v>76.5</v>
      </c>
      <c r="F4">
        <v>67.22</v>
      </c>
      <c r="G4">
        <v>42.54</v>
      </c>
      <c r="H4">
        <v>10.3</v>
      </c>
      <c r="I4">
        <v>0.53</v>
      </c>
      <c r="J4">
        <f>SUBTOTAL(9,Tabela6[[#This Row],[ 15 a 19]:[45 a 49]])</f>
        <v>313.15999999999997</v>
      </c>
    </row>
    <row r="5" spans="1:10" x14ac:dyDescent="0.25">
      <c r="A5">
        <v>2020</v>
      </c>
      <c r="B5" t="s">
        <v>5</v>
      </c>
      <c r="C5">
        <v>31.11</v>
      </c>
      <c r="D5">
        <v>70.13</v>
      </c>
      <c r="E5">
        <v>76.87</v>
      </c>
      <c r="F5">
        <v>71.36</v>
      </c>
      <c r="G5">
        <v>44.58</v>
      </c>
      <c r="H5">
        <v>11.36</v>
      </c>
      <c r="I5">
        <v>0.69</v>
      </c>
      <c r="J5">
        <f>SUBTOTAL(9,Tabela6[[#This Row],[ 15 a 19]:[45 a 49]])</f>
        <v>306.10000000000002</v>
      </c>
    </row>
    <row r="6" spans="1:10" x14ac:dyDescent="0.25">
      <c r="A6">
        <v>2020</v>
      </c>
      <c r="B6" t="s">
        <v>6</v>
      </c>
      <c r="C6">
        <v>33.619999999999997</v>
      </c>
      <c r="D6">
        <v>68.91</v>
      </c>
      <c r="E6">
        <v>75.14</v>
      </c>
      <c r="F6">
        <v>71.010000000000005</v>
      </c>
      <c r="G6">
        <v>42.83</v>
      </c>
      <c r="H6">
        <v>10.14</v>
      </c>
      <c r="I6">
        <v>0.74</v>
      </c>
      <c r="J6">
        <f>SUBTOTAL(9,Tabela6[[#This Row],[ 15 a 19]:[45 a 49]])</f>
        <v>302.39</v>
      </c>
    </row>
    <row r="7" spans="1:10" x14ac:dyDescent="0.25">
      <c r="A7">
        <v>2020</v>
      </c>
      <c r="B7" t="s">
        <v>7</v>
      </c>
      <c r="C7">
        <v>33.869999999999997</v>
      </c>
      <c r="D7">
        <v>74.91</v>
      </c>
      <c r="E7">
        <v>82.41</v>
      </c>
      <c r="F7">
        <v>75.36</v>
      </c>
      <c r="G7">
        <v>44.78</v>
      </c>
      <c r="H7">
        <v>9.5</v>
      </c>
      <c r="I7">
        <v>0.5</v>
      </c>
      <c r="J7">
        <f>SUBTOTAL(9,Tabela6[[#This Row],[ 15 a 19]:[45 a 49]])</f>
        <v>321.33000000000004</v>
      </c>
    </row>
    <row r="8" spans="1:10" x14ac:dyDescent="0.25">
      <c r="A8">
        <v>2020</v>
      </c>
      <c r="B8" t="s">
        <v>8</v>
      </c>
      <c r="C8">
        <v>55.71</v>
      </c>
      <c r="D8">
        <v>101.08</v>
      </c>
      <c r="E8">
        <v>88.81</v>
      </c>
      <c r="F8">
        <v>68.55</v>
      </c>
      <c r="G8">
        <v>40.119999999999997</v>
      </c>
      <c r="H8">
        <v>8.8800000000000008</v>
      </c>
      <c r="I8">
        <v>0.9</v>
      </c>
      <c r="J8">
        <f>SUBTOTAL(9,Tabela6[[#This Row],[ 15 a 19]:[45 a 49]])</f>
        <v>364.04999999999995</v>
      </c>
    </row>
    <row r="9" spans="1:10" x14ac:dyDescent="0.25">
      <c r="A9">
        <v>2020</v>
      </c>
      <c r="B9" t="s">
        <v>9</v>
      </c>
      <c r="C9">
        <v>40.18</v>
      </c>
      <c r="D9">
        <v>79.739999999999995</v>
      </c>
      <c r="E9">
        <v>84.15</v>
      </c>
      <c r="F9">
        <v>72.38</v>
      </c>
      <c r="G9">
        <v>42.36</v>
      </c>
      <c r="H9">
        <v>9.4499999999999993</v>
      </c>
      <c r="I9">
        <v>0.51</v>
      </c>
      <c r="J9">
        <f>SUBTOTAL(9,Tabela6[[#This Row],[ 15 a 19]:[45 a 49]])</f>
        <v>328.77</v>
      </c>
    </row>
    <row r="10" spans="1:10" x14ac:dyDescent="0.25">
      <c r="A10">
        <v>2020</v>
      </c>
      <c r="B10" t="s">
        <v>10</v>
      </c>
      <c r="C10">
        <v>37.21</v>
      </c>
      <c r="D10">
        <v>76.489999999999995</v>
      </c>
      <c r="E10">
        <v>79.790000000000006</v>
      </c>
      <c r="F10">
        <v>74.88</v>
      </c>
      <c r="G10">
        <v>41.75</v>
      </c>
      <c r="H10">
        <v>11.24</v>
      </c>
      <c r="I10">
        <v>0.75</v>
      </c>
      <c r="J10">
        <f>SUBTOTAL(9,Tabela6[[#This Row],[ 15 a 19]:[45 a 49]])</f>
        <v>322.11</v>
      </c>
    </row>
    <row r="11" spans="1:10" x14ac:dyDescent="0.25">
      <c r="A11">
        <v>2020</v>
      </c>
      <c r="B11" t="s">
        <v>11</v>
      </c>
      <c r="C11">
        <v>49.51</v>
      </c>
      <c r="D11">
        <v>103.77</v>
      </c>
      <c r="E11">
        <v>93.29</v>
      </c>
      <c r="F11">
        <v>70.400000000000006</v>
      </c>
      <c r="G11">
        <v>46.91</v>
      </c>
      <c r="H11">
        <v>11.93</v>
      </c>
      <c r="I11">
        <v>0.11</v>
      </c>
      <c r="J11">
        <f>SUBTOTAL(9,Tabela6[[#This Row],[ 15 a 19]:[45 a 49]])</f>
        <v>375.92</v>
      </c>
    </row>
    <row r="12" spans="1:10" x14ac:dyDescent="0.25">
      <c r="A12">
        <v>2020</v>
      </c>
      <c r="B12" t="s">
        <v>12</v>
      </c>
      <c r="C12">
        <v>31.98</v>
      </c>
      <c r="D12">
        <v>64.95</v>
      </c>
      <c r="E12">
        <v>69.540000000000006</v>
      </c>
      <c r="F12">
        <v>72.98</v>
      </c>
      <c r="G12">
        <v>43.92</v>
      </c>
      <c r="H12">
        <v>11</v>
      </c>
      <c r="I12">
        <v>0.59</v>
      </c>
      <c r="J12">
        <f>SUBTOTAL(9,Tabela6[[#This Row],[ 15 a 19]:[45 a 49]])</f>
        <v>294.96000000000004</v>
      </c>
    </row>
    <row r="13" spans="1:10" x14ac:dyDescent="0.25">
      <c r="A13">
        <v>2020</v>
      </c>
      <c r="B13" t="s">
        <v>13</v>
      </c>
      <c r="C13">
        <v>38.31</v>
      </c>
      <c r="D13">
        <v>86.23</v>
      </c>
      <c r="E13">
        <v>83.35</v>
      </c>
      <c r="F13">
        <v>70.48</v>
      </c>
      <c r="G13">
        <v>46.31</v>
      </c>
      <c r="H13">
        <v>13.08</v>
      </c>
      <c r="I13">
        <v>0.73</v>
      </c>
      <c r="J13">
        <f>SUBTOTAL(9,Tabela6[[#This Row],[ 15 a 19]:[45 a 49]])</f>
        <v>338.49</v>
      </c>
    </row>
    <row r="14" spans="1:10" x14ac:dyDescent="0.25">
      <c r="A14">
        <v>2020</v>
      </c>
      <c r="B14" t="s">
        <v>14</v>
      </c>
      <c r="C14">
        <v>32.51</v>
      </c>
      <c r="D14">
        <v>70.17</v>
      </c>
      <c r="E14">
        <v>80.069999999999993</v>
      </c>
      <c r="F14">
        <v>71.72</v>
      </c>
      <c r="G14">
        <v>41.71</v>
      </c>
      <c r="H14">
        <v>9.57</v>
      </c>
      <c r="I14">
        <v>0.63</v>
      </c>
      <c r="J14">
        <f>SUBTOTAL(9,Tabela6[[#This Row],[ 15 a 19]:[45 a 49]])</f>
        <v>306.38</v>
      </c>
    </row>
    <row r="15" spans="1:10" x14ac:dyDescent="0.25">
      <c r="A15">
        <v>2020</v>
      </c>
      <c r="B15" t="s">
        <v>15</v>
      </c>
      <c r="C15">
        <v>37.6</v>
      </c>
      <c r="D15">
        <v>79.319999999999993</v>
      </c>
      <c r="E15">
        <v>83.99</v>
      </c>
      <c r="F15">
        <v>72.540000000000006</v>
      </c>
      <c r="G15">
        <v>44.29</v>
      </c>
      <c r="H15">
        <v>11.21</v>
      </c>
      <c r="I15">
        <v>0.61</v>
      </c>
      <c r="J15">
        <f>SUBTOTAL(9,Tabela6[[#This Row],[ 15 a 19]:[45 a 49]])</f>
        <v>329.56</v>
      </c>
    </row>
    <row r="16" spans="1:10" x14ac:dyDescent="0.25">
      <c r="A16">
        <v>2020</v>
      </c>
      <c r="B16" t="s">
        <v>16</v>
      </c>
      <c r="C16">
        <v>36.96</v>
      </c>
      <c r="D16">
        <v>80.58</v>
      </c>
      <c r="E16">
        <v>81.44</v>
      </c>
      <c r="F16">
        <v>73.03</v>
      </c>
      <c r="G16">
        <v>42</v>
      </c>
      <c r="H16">
        <v>12.17</v>
      </c>
      <c r="I16">
        <v>0.55000000000000004</v>
      </c>
      <c r="J16">
        <f>SUBTOTAL(9,Tabela6[[#This Row],[ 15 a 19]:[45 a 49]])</f>
        <v>326.73</v>
      </c>
    </row>
    <row r="17" spans="1:10" x14ac:dyDescent="0.25">
      <c r="A17">
        <v>2020</v>
      </c>
      <c r="B17" t="s">
        <v>17</v>
      </c>
      <c r="C17">
        <v>36.14</v>
      </c>
      <c r="D17">
        <v>76.41</v>
      </c>
      <c r="E17">
        <v>76.12</v>
      </c>
      <c r="F17">
        <v>74.09</v>
      </c>
      <c r="G17">
        <v>49.63</v>
      </c>
      <c r="H17">
        <v>14.01</v>
      </c>
      <c r="I17">
        <v>0.95</v>
      </c>
      <c r="J17">
        <f>SUBTOTAL(9,Tabela6[[#This Row],[ 15 a 19]:[45 a 49]])</f>
        <v>327.34999999999997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fecundidade_total</vt:lpstr>
      <vt:lpstr>Pergunta 1</vt:lpstr>
      <vt:lpstr>Planilha2</vt:lpstr>
      <vt:lpstr>Planilha3</vt:lpstr>
      <vt:lpstr>Planilha4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Chagas, Ana Beatriz Viana</cp:lastModifiedBy>
  <dcterms:created xsi:type="dcterms:W3CDTF">2026-09-04T22:17:53Z</dcterms:created>
  <dcterms:modified xsi:type="dcterms:W3CDTF">2026-09-07T22:58:48Z</dcterms:modified>
</cp:coreProperties>
</file>